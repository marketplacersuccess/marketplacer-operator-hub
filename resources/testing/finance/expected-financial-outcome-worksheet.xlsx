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9e0f4b959f46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d38e3f2a9cb4e56"/>
    <x:sheet xmlns:r="http://schemas.openxmlformats.org/officeDocument/2006/relationships" name="Commission model" sheetId="2" r:id="Rbaafa91eb11d4ae4"/>
    <x:sheet xmlns:r="http://schemas.openxmlformats.org/officeDocument/2006/relationships" name="Wholesale model" sheetId="3" r:id="Rafac9341b9ed40b1"/>
    <x:sheet xmlns:r="http://schemas.openxmlformats.org/officeDocument/2006/relationships" name="Reconciliation" sheetId="4" r:id="R361b7877cbf84f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%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D182F"/>
      <x:name val="Carlito"/>
    </x:font>
    <x:font>
      <x:b/>
      <x:sz val="9"/>
      <x:color rgb="FFFFFFFF"/>
      <x:name val="Carlito"/>
    </x:font>
    <x:font>
      <x:sz val="9"/>
      <x:color rgb="FF1D182F"/>
      <x:name val="Carlito"/>
    </x:font>
    <x:font>
      <x:b/>
      <x:sz val="9"/>
      <x:color rgb="FF1D182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D182F"/>
      </x:patternFill>
    </x:fill>
    <x:fill>
      <x:patternFill patternType="solid">
        <x:fgColor rgb="FF00CFB4"/>
      </x:patternFill>
    </x:fill>
    <x:fill>
      <x:patternFill patternType="solid">
        <x:fgColor rgb="FFFFFFFF"/>
      </x:patternFill>
    </x:fill>
    <x:fill>
      <x:patternFill patternType="solid">
        <x:fgColor rgb="FF1D182F"/>
      </x:patternFill>
    </x:fill>
    <x:fill>
      <x:patternFill patternType="solid">
        <x:fgColor rgb="FFFFFFFF"/>
      </x:patternFill>
    </x:fill>
    <x:fill>
      <x:patternFill patternType="solid">
        <x:fgColor rgb="FF1D182F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top" wrapText="1"/>
    </x:xf>
    <x:xf numFmtId="201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818b0db3044a61" /><Relationship Type="http://schemas.openxmlformats.org/officeDocument/2006/relationships/theme" Target="/xl/theme/theme1.xml" Id="R1756d0bde89b4566" /><Relationship Type="http://schemas.openxmlformats.org/officeDocument/2006/relationships/sharedStrings" Target="/xl/sharedStrings.xml" Id="Ra6901f0929264915" /><Relationship Type="http://schemas.openxmlformats.org/officeDocument/2006/relationships/worksheet" Target="/xl/worksheets/sheet1.xml" Id="Rbd38e3f2a9cb4e56" /><Relationship Type="http://schemas.openxmlformats.org/officeDocument/2006/relationships/worksheet" Target="/xl/worksheets/sheet2.xml" Id="Rbaafa91eb11d4ae4" /><Relationship Type="http://schemas.openxmlformats.org/officeDocument/2006/relationships/worksheet" Target="/xl/worksheets/sheet3.xml" Id="Rafac9341b9ed40b1" /><Relationship Type="http://schemas.openxmlformats.org/officeDocument/2006/relationships/worksheet" Target="/xl/worksheets/sheet4.xml" Id="R361b7877cbf84fff" /></Relationships>
</file>

<file path=xl/tables/table1.xml><?xml version="1.0" encoding="utf-8"?>
<x:table xmlns:x="http://schemas.openxmlformats.org/spreadsheetml/2006/main" id="1" name="FinancialReconciliationTable" displayName="FinancialReconciliationTable" ref="A4:J54" headerRowCount="1">
  <x:tableColumns count="10">
    <x:tableColumn id="1" name="Test ID"/>
    <x:tableColumn id="2" name="Commercial model"/>
    <x:tableColumn id="3" name="Order ID"/>
    <x:tableColumn id="4" name="Seller Invoice ID"/>
    <x:tableColumn id="5" name="Expected customer amount"/>
    <x:tableColumn id="6" name="Actual customer amount"/>
    <x:tableColumn id="7" name="Expected Seller entitlement"/>
    <x:tableColumn id="8" name="Actual Seller entitlement"/>
    <x:tableColumn id="9" name="Difference"/>
    <x:tableColumn id="10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4fe9ff7736d4467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 ht="30" customHeight="1">
      <x:c r="A1" s="28" t="str">
        <x:v>Expected Financial Outcome Worksheet</x:v>
      </x:c>
      <x:c r="B1" s="28"/>
      <x:c r="C1" s="28"/>
      <x:c r="D1" s="28"/>
      <x:c r="E1" s="28"/>
      <x:c r="F1" s="28"/>
    </x:row>
    <x:row r="2" ht="26" customHeight="1">
      <x:c r="A2" s="11" t="str">
        <x:v>Calculate expected commission or wholesale outcomes before test execution.</x:v>
      </x:c>
      <x:c r="B2" s="11"/>
      <x:c r="C2" s="11"/>
      <x:c r="D2" s="11"/>
      <x:c r="E2" s="11"/>
      <x:c r="F2" s="11"/>
    </x:row>
    <x:row r="3">
      <x:c r="A3" s="29"/>
      <x:c r="B3" s="29"/>
      <x:c r="C3" s="29"/>
      <x:c r="D3" s="29"/>
      <x:c r="E3" s="29"/>
      <x:c r="F3" s="29"/>
    </x:row>
    <x:row r="4" ht="28" customHeight="1">
      <x:c r="A4" s="18" t="str">
        <x:v>Resource information</x:v>
      </x:c>
      <x:c r="B4" s="18" t="str">
        <x:v>Details</x:v>
      </x:c>
      <x:c r="C4" s="29"/>
      <x:c r="D4" s="29"/>
      <x:c r="E4" s="29"/>
      <x:c r="F4" s="29"/>
    </x:row>
    <x:row r="5">
      <x:c r="A5" s="24" t="str">
        <x:v>Use this resource for</x:v>
      </x:c>
      <x:c r="B5" s="24" t="str">
        <x:v>Define expected results before placing a test Order, then compare them with actual Marketplacer and payment-provider records.</x:v>
      </x:c>
      <x:c r="C5" s="29"/>
      <x:c r="D5" s="29"/>
      <x:c r="E5" s="29"/>
      <x:c r="F5" s="29"/>
    </x:row>
    <x:row r="6">
      <x:c r="A6" s="24" t="str">
        <x:v>Primary owner</x:v>
      </x:c>
      <x:c r="B6" s="24" t="str">
        <x:v>Assign an accountable marketplace owner before use.</x:v>
      </x:c>
      <x:c r="C6" s="29"/>
      <x:c r="D6" s="29"/>
      <x:c r="E6" s="29"/>
      <x:c r="F6" s="29"/>
    </x:row>
    <x:row r="7">
      <x:c r="A7" s="24" t="str">
        <x:v>Version control</x:v>
      </x:c>
      <x:c r="B7" s="24" t="str">
        <x:v>Copy the template, record the version and retain the approved evidence location.</x:v>
      </x:c>
      <x:c r="C7" s="29"/>
      <x:c r="D7" s="29"/>
      <x:c r="E7" s="29"/>
      <x:c r="F7" s="29"/>
    </x:row>
    <x:row r="8">
      <x:c r="A8" s="24" t="str">
        <x:v>Sensitive information</x:v>
      </x:c>
      <x:c r="B8" s="24" t="str">
        <x:v>Do not store passwords, API secrets, MFA recovery codes, unrestricted customer data or KYC documents.</x:v>
      </x:c>
      <x:c r="C8" s="29"/>
      <x:c r="D8" s="29"/>
      <x:c r="E8" s="29"/>
      <x:c r="F8" s="29"/>
    </x:row>
    <x:row r="9">
      <x:c r="A9" s="24" t="str">
        <x:v>Related guidance</x:v>
      </x:c>
      <x:c r="B9" s="24" t="str">
        <x:v>Use alongside the relevant Operator Onboarding Hub page and current Marketplacer documentation.</x:v>
      </x:c>
      <x:c r="C9" s="29"/>
      <x:c r="D9" s="29"/>
      <x:c r="E9" s="29"/>
      <x:c r="F9" s="29"/>
    </x:row>
    <x:row r="10">
      <x:c r="A10" s="29"/>
      <x:c r="B10" s="29"/>
      <x:c r="C10" s="29"/>
      <x:c r="D10" s="29"/>
      <x:c r="E10" s="29"/>
      <x:c r="F10" s="29"/>
    </x:row>
    <x:row r="11" ht="28" customHeight="1">
      <x:c r="A11" s="18" t="str">
        <x:v>Workbook sheet</x:v>
      </x:c>
      <x:c r="B11" s="18" t="str">
        <x:v>How to use it</x:v>
      </x:c>
      <x:c r="C11" s="29"/>
      <x:c r="D11" s="29"/>
      <x:c r="E11" s="29"/>
      <x:c r="F11" s="29"/>
    </x:row>
    <x:row r="12">
      <x:c r="A12" s="24" t="str">
        <x:v>Commission model</x:v>
      </x:c>
      <x:c r="B12" s="24" t="str">
        <x:v>Enter the approved rates and expected customer transaction amounts.</x:v>
      </x:c>
      <x:c r="C12" s="29"/>
      <x:c r="D12" s="29"/>
      <x:c r="E12" s="29"/>
      <x:c r="F12" s="29"/>
    </x:row>
    <x:row r="13">
      <x:c r="A13" s="24" t="str">
        <x:v>Wholesale model</x:v>
      </x:c>
      <x:c r="B13" s="24" t="str">
        <x:v>Enter customer retail and Seller entitlement values.</x:v>
      </x:c>
      <x:c r="C13" s="29"/>
      <x:c r="D13" s="29"/>
      <x:c r="E13" s="29"/>
      <x:c r="F13" s="29"/>
    </x:row>
    <x:row r="14">
      <x:c r="A14" s="24" t="str">
        <x:v>Reconciliation</x:v>
      </x:c>
      <x:c r="B14" s="24" t="str">
        <x:v>Compare expected and actual Order, refund and payout outcomes.</x:v>
      </x:c>
      <x:c r="C14" s="29"/>
      <x:c r="D14" s="29"/>
      <x:c r="E14" s="29"/>
      <x:c r="F14" s="29"/>
    </x:row>
    <x:row r="15">
      <x:c r="A15" s="29"/>
      <x:c r="B15" s="29"/>
      <x:c r="C15" s="29"/>
      <x:c r="D15" s="29"/>
      <x:c r="E15" s="29"/>
      <x:c r="F15" s="29"/>
    </x:row>
    <x:row r="16">
      <x:c r="A16" s="29"/>
      <x:c r="B16" s="29"/>
      <x:c r="C16" s="29"/>
      <x:c r="D16" s="29"/>
      <x:c r="E16" s="29"/>
      <x:c r="F16" s="29"/>
    </x:row>
    <x:row r="17">
      <x:c r="A17" s="29"/>
      <x:c r="B17" s="29"/>
      <x:c r="C17" s="29"/>
      <x:c r="D17" s="29"/>
      <x:c r="E17" s="29"/>
      <x:c r="F17" s="29"/>
    </x:row>
    <x:row r="18">
      <x:c r="A18" s="29"/>
      <x:c r="B18" s="29"/>
      <x:c r="C18" s="29"/>
      <x:c r="D18" s="29"/>
      <x:c r="E18" s="29"/>
      <x:c r="F18" s="29"/>
    </x:row>
    <x:row r="19">
      <x:c r="A19" s="29"/>
      <x:c r="B19" s="29"/>
      <x:c r="C19" s="29"/>
      <x:c r="D19" s="29"/>
      <x:c r="E19" s="29"/>
      <x:c r="F19" s="29"/>
    </x:row>
    <x:row r="20">
      <x:c r="A20" s="29"/>
      <x:c r="B20" s="29"/>
      <x:c r="C20" s="29"/>
      <x:c r="D20" s="29"/>
      <x:c r="E20" s="29"/>
      <x:c r="F20" s="29"/>
    </x:row>
    <x:row r="21">
      <x:c r="A21" s="29"/>
      <x:c r="B21" s="29"/>
      <x:c r="C21" s="29"/>
      <x:c r="D21" s="29"/>
      <x:c r="E21" s="29"/>
      <x:c r="F21" s="29"/>
    </x:row>
    <x:row r="22">
      <x:c r="A22" s="29"/>
      <x:c r="B22" s="29"/>
      <x:c r="C22" s="29"/>
      <x:c r="D22" s="29"/>
      <x:c r="E22" s="29"/>
      <x:c r="F22" s="29"/>
    </x:row>
    <x:row r="23">
      <x:c r="A23" s="29"/>
      <x:c r="B23" s="29"/>
      <x:c r="C23" s="29"/>
      <x:c r="D23" s="29"/>
      <x:c r="E23" s="29"/>
      <x:c r="F23" s="29"/>
    </x:row>
    <x:row r="24">
      <x:c r="A24" s="29"/>
      <x:c r="B24" s="29"/>
      <x:c r="C24" s="29"/>
      <x:c r="D24" s="29"/>
      <x:c r="E24" s="29"/>
      <x:c r="F24" s="29"/>
    </x:row>
    <x:row r="25">
      <x:c r="A25" s="29"/>
      <x:c r="B25" s="29"/>
      <x:c r="C25" s="29"/>
      <x:c r="D25" s="29"/>
      <x:c r="E25" s="29"/>
      <x:c r="F25" s="29"/>
    </x:row>
    <x:row r="26">
      <x:c r="A26" s="29"/>
      <x:c r="B26" s="29"/>
      <x:c r="C26" s="29"/>
      <x:c r="D26" s="29"/>
      <x:c r="E26" s="29"/>
      <x:c r="F26" s="29"/>
    </x:row>
    <x:row r="27">
      <x:c r="A27" s="29"/>
      <x:c r="B27" s="29"/>
      <x:c r="C27" s="29"/>
      <x:c r="D27" s="29"/>
      <x:c r="E27" s="29"/>
      <x:c r="F27" s="29"/>
    </x:row>
    <x:row r="28">
      <x:c r="A28" s="29"/>
      <x:c r="B28" s="29"/>
      <x:c r="C28" s="29"/>
      <x:c r="D28" s="29"/>
      <x:c r="E28" s="29"/>
      <x:c r="F28" s="29"/>
    </x:row>
    <x:row r="29">
      <x:c r="A29" s="29"/>
      <x:c r="B29" s="29"/>
      <x:c r="C29" s="29"/>
      <x:c r="D29" s="29"/>
      <x:c r="E29" s="29"/>
      <x:c r="F29" s="29"/>
    </x:row>
    <x:row r="30">
      <x:c r="A30" s="29"/>
      <x:c r="B30" s="29"/>
      <x:c r="C30" s="29"/>
      <x:c r="D30" s="29"/>
      <x:c r="E30" s="29"/>
      <x:c r="F30" s="29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</x:cols>
  <x:sheetData>
    <x:row r="1" ht="30" customHeight="1">
      <x:c r="A1" s="4" t="str">
        <x:v>Commission Model</x:v>
      </x:c>
      <x:c r="B1" s="4"/>
    </x:row>
    <x:row r="2" ht="26" customHeight="1">
      <x:c r="A2" s="11" t="str">
        <x:v>Calculate expected Seller entitlement and Operator result.</x:v>
      </x:c>
      <x:c r="B2" s="11"/>
    </x:row>
    <x:row r="3">
      <x:c r="B3" s="49"/>
    </x:row>
    <x:row r="4" ht="28" customHeight="1">
      <x:c r="A4" s="51" t="str">
        <x:v>Input</x:v>
      </x:c>
      <x:c r="B4" s="51" t="str">
        <x:v>Value</x:v>
      </x:c>
    </x:row>
    <x:row r="5">
      <x:c r="A5" s="24" t="str">
        <x:v>Customer item amount</x:v>
      </x:c>
      <x:c r="B5" s="47" t="n">
        <x:v>0</x:v>
      </x:c>
    </x:row>
    <x:row r="6">
      <x:c r="A6" s="24" t="str">
        <x:v>Postage</x:v>
      </x:c>
      <x:c r="B6" s="47" t="n">
        <x:v>0</x:v>
      </x:c>
    </x:row>
    <x:row r="7">
      <x:c r="A7" s="24" t="str">
        <x:v>Customer tax</x:v>
      </x:c>
      <x:c r="B7" s="47" t="n">
        <x:v>0</x:v>
      </x:c>
    </x:row>
    <x:row r="8">
      <x:c r="A8" s="24" t="str">
        <x:v>Commission rate</x:v>
      </x:c>
      <x:c r="B8" s="48" t="n">
        <x:v>0</x:v>
      </x:c>
    </x:row>
    <x:row r="9">
      <x:c r="A9" s="24" t="str">
        <x:v>Commission on postage rate</x:v>
      </x:c>
      <x:c r="B9" s="48" t="n">
        <x:v>0</x:v>
      </x:c>
    </x:row>
    <x:row r="10">
      <x:c r="A10" s="24" t="str">
        <x:v>Merchant fee</x:v>
      </x:c>
      <x:c r="B10" s="47" t="n">
        <x:v>0</x:v>
      </x:c>
    </x:row>
    <x:row r="11">
      <x:c r="A11" s="24" t="str">
        <x:v>Seller-funded adjustment</x:v>
      </x:c>
      <x:c r="B11" s="47" t="n">
        <x:v>0</x:v>
      </x:c>
    </x:row>
    <x:row r="12">
      <x:c r="A12" s="24" t="str">
        <x:v>Refunded item amount</x:v>
      </x:c>
      <x:c r="B12" s="47" t="n">
        <x:v>0</x:v>
      </x:c>
    </x:row>
    <x:row r="13">
      <x:c r="A13" s="24" t="str">
        <x:v>Refunded postage</x:v>
      </x:c>
      <x:c r="B13" s="47" t="n">
        <x:v>0</x:v>
      </x:c>
    </x:row>
    <x:row r="14">
      <x:c r="A14" s="24" t="str">
        <x:v>Other Seller adjustment</x:v>
      </x:c>
      <x:c r="B14" s="47" t="n">
        <x:v>0</x:v>
      </x:c>
    </x:row>
    <x:row r="15">
      <x:c r="B15" s="49"/>
    </x:row>
    <x:row r="16" ht="28" customHeight="1">
      <x:c r="A16" s="51" t="str">
        <x:v>Calculated outcome</x:v>
      </x:c>
      <x:c r="B16" s="51" t="str">
        <x:v>Formula</x:v>
      </x:c>
    </x:row>
    <x:row r="17">
      <x:c r="A17" s="24" t="str">
        <x:v>Gross customer amount</x:v>
      </x:c>
      <x:c r="B17" s="47" t="n">
        <x:f>SUM(B5:B7)</x:f>
        <x:v>0</x:v>
      </x:c>
    </x:row>
    <x:row r="18">
      <x:c r="A18" s="24" t="str">
        <x:v>Commission</x:v>
      </x:c>
      <x:c r="B18" s="47" t="n">
        <x:f>(B5-B12)*B8+(B6-B13)*B9</x:f>
        <x:v>0</x:v>
      </x:c>
    </x:row>
    <x:row r="19">
      <x:c r="A19" s="24" t="str">
        <x:v>Total applicable fees</x:v>
      </x:c>
      <x:c r="B19" s="47" t="n">
        <x:f>B10+B11+B14</x:f>
        <x:v>0</x:v>
      </x:c>
    </x:row>
    <x:row r="20">
      <x:c r="A20" s="24" t="str">
        <x:v>Seller entitlement</x:v>
      </x:c>
      <x:c r="B20" s="47" t="n">
        <x:f>B17-B18-B19</x:f>
        <x:v>0</x:v>
      </x:c>
    </x:row>
    <x:row r="21">
      <x:c r="A21" s="24" t="str">
        <x:v>Operator commercial result</x:v>
      </x:c>
      <x:c r="B21" s="47" t="n">
        <x:f>B18+B19</x:f>
        <x:v>0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</x:cols>
  <x:sheetData>
    <x:row r="1" ht="30" customHeight="1">
      <x:c r="A1" s="4" t="str">
        <x:v>Wholesale Model</x:v>
      </x:c>
      <x:c r="B1" s="4"/>
    </x:row>
    <x:row r="2" ht="26" customHeight="1">
      <x:c r="A2" s="11" t="str">
        <x:v>Calculate customer retail, Seller entitlement and indicative Operator gross margin.</x:v>
      </x:c>
      <x:c r="B2" s="11"/>
    </x:row>
    <x:row r="3">
      <x:c r="B3" s="49"/>
    </x:row>
    <x:row r="4" ht="28" customHeight="1">
      <x:c r="A4" s="51" t="str">
        <x:v>Input</x:v>
      </x:c>
      <x:c r="B4" s="51" t="str">
        <x:v>Value</x:v>
      </x:c>
    </x:row>
    <x:row r="5">
      <x:c r="A5" s="24" t="str">
        <x:v>Customer item amount</x:v>
      </x:c>
      <x:c r="B5" s="47" t="n">
        <x:v>0</x:v>
      </x:c>
    </x:row>
    <x:row r="6">
      <x:c r="A6" s="24" t="str">
        <x:v>Customer postage</x:v>
      </x:c>
      <x:c r="B6" s="47" t="n">
        <x:v>0</x:v>
      </x:c>
    </x:row>
    <x:row r="7">
      <x:c r="A7" s="24" t="str">
        <x:v>Customer tax</x:v>
      </x:c>
      <x:c r="B7" s="47" t="n">
        <x:v>0</x:v>
      </x:c>
    </x:row>
    <x:row r="8">
      <x:c r="A8" s="24" t="str">
        <x:v>Seller Wholesale Price</x:v>
      </x:c>
      <x:c r="B8" s="47" t="n">
        <x:v>0</x:v>
      </x:c>
    </x:row>
    <x:row r="9">
      <x:c r="A9" s="24" t="str">
        <x:v>Seller postage entitlement</x:v>
      </x:c>
      <x:c r="B9" s="47" t="n">
        <x:v>0</x:v>
      </x:c>
    </x:row>
    <x:row r="10">
      <x:c r="A10" s="24" t="str">
        <x:v>Seller tax entitlement</x:v>
      </x:c>
      <x:c r="B10" s="47" t="n">
        <x:v>0</x:v>
      </x:c>
    </x:row>
    <x:row r="11">
      <x:c r="A11" s="24" t="str">
        <x:v>Refunded customer amount</x:v>
      </x:c>
      <x:c r="B11" s="47" t="n">
        <x:v>0</x:v>
      </x:c>
    </x:row>
    <x:row r="12">
      <x:c r="A12" s="24" t="str">
        <x:v>Refunded Seller entitlement</x:v>
      </x:c>
      <x:c r="B12" s="47" t="n">
        <x:v>0</x:v>
      </x:c>
    </x:row>
    <x:row r="13">
      <x:c r="A13" s="24" t="str">
        <x:v>Other Seller adjustment</x:v>
      </x:c>
      <x:c r="B13" s="47" t="n">
        <x:v>0</x:v>
      </x:c>
    </x:row>
    <x:row r="14">
      <x:c r="B14" s="49"/>
    </x:row>
    <x:row r="15" ht="28" customHeight="1">
      <x:c r="A15" s="51" t="str">
        <x:v>Calculated outcome</x:v>
      </x:c>
      <x:c r="B15" s="51" t="str">
        <x:v>Formula</x:v>
      </x:c>
    </x:row>
    <x:row r="16">
      <x:c r="A16" s="24" t="str">
        <x:v>Gross customer amount</x:v>
      </x:c>
      <x:c r="B16" s="47" t="n">
        <x:f>SUM(B5:B7)</x:f>
        <x:v>0</x:v>
      </x:c>
    </x:row>
    <x:row r="17">
      <x:c r="A17" s="24" t="str">
        <x:v>Gross Seller entitlement</x:v>
      </x:c>
      <x:c r="B17" s="47" t="n">
        <x:f>SUM(B8:B10)</x:f>
        <x:v>0</x:v>
      </x:c>
    </x:row>
    <x:row r="18">
      <x:c r="A18" s="24" t="str">
        <x:v>Net customer amount</x:v>
      </x:c>
      <x:c r="B18" s="47" t="n">
        <x:f>B16-B11</x:f>
        <x:v>0</x:v>
      </x:c>
    </x:row>
    <x:row r="19">
      <x:c r="A19" s="24" t="str">
        <x:v>Net Seller entitlement</x:v>
      </x:c>
      <x:c r="B19" s="47" t="n">
        <x:f>B17-B12+B13</x:f>
        <x:v>0</x:v>
      </x:c>
    </x:row>
    <x:row r="20">
      <x:c r="A20" s="24" t="str">
        <x:v>Indicative Operator gross margin</x:v>
      </x:c>
      <x:c r="B20" s="47" t="n">
        <x:f>B18-B19</x:f>
        <x:v>0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  <x:col min="9" max="9" width="12" hidden="0" customWidth="1"/>
    <x:col min="10" max="10" width="14" hidden="0" customWidth="1"/>
  </x:cols>
  <x:sheetData>
    <x:row r="1" ht="30" customHeight="1">
      <x:c r="A1" s="4" t="str">
        <x:v>Financial Reconciliation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6" customHeight="1">
      <x:c r="A2" s="11" t="str">
        <x:v>Compare expected and actual results for each test transaction.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J3" s="40"/>
    </x:row>
    <x:row r="4" ht="28" customHeight="1">
      <x:c r="A4" s="18" t="str">
        <x:v>Test ID</x:v>
      </x:c>
      <x:c r="B4" s="18" t="str">
        <x:v>Commercial model</x:v>
      </x:c>
      <x:c r="C4" s="18" t="str">
        <x:v>Order ID</x:v>
      </x:c>
      <x:c r="D4" s="18" t="str">
        <x:v>Seller Invoice ID</x:v>
      </x:c>
      <x:c r="E4" s="18" t="str">
        <x:v>Expected customer amount</x:v>
      </x:c>
      <x:c r="F4" s="18" t="str">
        <x:v>Actual customer amount</x:v>
      </x:c>
      <x:c r="G4" s="18" t="str">
        <x:v>Expected Seller entitlement</x:v>
      </x:c>
      <x:c r="H4" s="18" t="str">
        <x:v>Actual Seller entitlement</x:v>
      </x:c>
      <x:c r="I4" s="18" t="str">
        <x:v>Difference</x:v>
      </x:c>
      <x:c r="J4" s="43" t="str">
        <x:v>Status</x:v>
      </x:c>
    </x:row>
    <x:row r="5">
      <x:c r="A5" s="24" t="str"/>
      <x:c r="B5" s="24" t="str"/>
      <x:c r="C5" s="24" t="str"/>
      <x:c r="D5" s="24" t="str"/>
      <x:c r="E5" s="24" t="str"/>
      <x:c r="F5" s="24" t="str"/>
      <x:c r="G5" s="24" t="str"/>
      <x:c r="H5" s="24" t="str"/>
      <x:c r="I5" s="24" t="str">
        <x:f>IF(OR(G5="",H5=""),"",H5-G5)</x:f>
      </x:c>
      <x:c r="J5" s="39" t="str">
        <x:f>IF(I5="","",IF(ABS(I5)&lt;0.01,"Matched","Review"))</x:f>
      </x:c>
    </x:row>
    <x:row r="6">
      <x:c r="A6" s="24" t="str"/>
      <x:c r="B6" s="24" t="str"/>
      <x:c r="C6" s="24" t="str"/>
      <x:c r="D6" s="24" t="str"/>
      <x:c r="E6" s="24" t="str"/>
      <x:c r="F6" s="24" t="str"/>
      <x:c r="G6" s="24" t="str"/>
      <x:c r="H6" s="24" t="str"/>
      <x:c r="I6" s="24" t="str">
        <x:f>IF(OR(G6="",H6=""),"",H6-G6)</x:f>
      </x:c>
      <x:c r="J6" s="39" t="str">
        <x:f>IF(I6="","",IF(ABS(I6)&lt;0.01,"Matched","Review"))</x:f>
      </x:c>
    </x:row>
    <x:row r="7">
      <x:c r="A7" s="24" t="str"/>
      <x:c r="B7" s="24" t="str"/>
      <x:c r="C7" s="24" t="str"/>
      <x:c r="D7" s="24" t="str"/>
      <x:c r="E7" s="24" t="str"/>
      <x:c r="F7" s="24" t="str"/>
      <x:c r="G7" s="24" t="str"/>
      <x:c r="H7" s="24" t="str"/>
      <x:c r="I7" s="24" t="str">
        <x:f>IF(OR(G7="",H7=""),"",H7-G7)</x:f>
      </x:c>
      <x:c r="J7" s="39" t="str">
        <x:f>IF(I7="","",IF(ABS(I7)&lt;0.01,"Matched","Review"))</x:f>
      </x:c>
    </x:row>
    <x:row r="8">
      <x:c r="A8" s="24" t="str"/>
      <x:c r="B8" s="24" t="str"/>
      <x:c r="C8" s="24" t="str"/>
      <x:c r="D8" s="24" t="str"/>
      <x:c r="E8" s="24" t="str"/>
      <x:c r="F8" s="24" t="str"/>
      <x:c r="G8" s="24" t="str"/>
      <x:c r="H8" s="24" t="str"/>
      <x:c r="I8" s="24" t="str">
        <x:f>IF(OR(G8="",H8=""),"",H8-G8)</x:f>
      </x:c>
      <x:c r="J8" s="39" t="str">
        <x:f>IF(I8="","",IF(ABS(I8)&lt;0.01,"Matched","Review"))</x:f>
      </x:c>
    </x:row>
    <x:row r="9">
      <x:c r="A9" s="24" t="str"/>
      <x:c r="B9" s="24" t="str"/>
      <x:c r="C9" s="24" t="str"/>
      <x:c r="D9" s="24" t="str"/>
      <x:c r="E9" s="24" t="str"/>
      <x:c r="F9" s="24" t="str"/>
      <x:c r="G9" s="24" t="str"/>
      <x:c r="H9" s="24" t="str"/>
      <x:c r="I9" s="24" t="str">
        <x:f>IF(OR(G9="",H9=""),"",H9-G9)</x:f>
      </x:c>
      <x:c r="J9" s="39" t="str">
        <x:f>IF(I9="","",IF(ABS(I9)&lt;0.01,"Matched","Review"))</x:f>
      </x:c>
    </x:row>
    <x:row r="10">
      <x:c r="A10" s="24" t="str"/>
      <x:c r="B10" s="24" t="str"/>
      <x:c r="C10" s="24" t="str"/>
      <x:c r="D10" s="24" t="str"/>
      <x:c r="E10" s="24" t="str"/>
      <x:c r="F10" s="24" t="str"/>
      <x:c r="G10" s="24" t="str"/>
      <x:c r="H10" s="24" t="str"/>
      <x:c r="I10" s="24" t="str">
        <x:f>IF(OR(G10="",H10=""),"",H10-G10)</x:f>
      </x:c>
      <x:c r="J10" s="39" t="str">
        <x:f>IF(I10="","",IF(ABS(I10)&lt;0.01,"Matched","Review"))</x:f>
      </x:c>
    </x:row>
    <x:row r="11">
      <x:c r="A11" s="24" t="str"/>
      <x:c r="B11" s="24" t="str"/>
      <x:c r="C11" s="24" t="str"/>
      <x:c r="D11" s="24" t="str"/>
      <x:c r="E11" s="24" t="str"/>
      <x:c r="F11" s="24" t="str"/>
      <x:c r="G11" s="24" t="str"/>
      <x:c r="H11" s="24" t="str"/>
      <x:c r="I11" s="24" t="str">
        <x:f>IF(OR(G11="",H11=""),"",H11-G11)</x:f>
      </x:c>
      <x:c r="J11" s="39" t="str">
        <x:f>IF(I11="","",IF(ABS(I11)&lt;0.01,"Matched","Review"))</x:f>
      </x:c>
    </x:row>
    <x:row r="12">
      <x:c r="A12" s="24" t="str"/>
      <x:c r="B12" s="24" t="str"/>
      <x:c r="C12" s="24" t="str"/>
      <x:c r="D12" s="24" t="str"/>
      <x:c r="E12" s="24" t="str"/>
      <x:c r="F12" s="24" t="str"/>
      <x:c r="G12" s="24" t="str"/>
      <x:c r="H12" s="24" t="str"/>
      <x:c r="I12" s="24" t="str">
        <x:f>IF(OR(G12="",H12=""),"",H12-G12)</x:f>
      </x:c>
      <x:c r="J12" s="39" t="str">
        <x:f>IF(I12="","",IF(ABS(I12)&lt;0.01,"Matched","Review"))</x:f>
      </x:c>
    </x:row>
    <x:row r="13">
      <x:c r="A13" s="24" t="str"/>
      <x:c r="B13" s="24" t="str"/>
      <x:c r="C13" s="24" t="str"/>
      <x:c r="D13" s="24" t="str"/>
      <x:c r="E13" s="24" t="str"/>
      <x:c r="F13" s="24" t="str"/>
      <x:c r="G13" s="24" t="str"/>
      <x:c r="H13" s="24" t="str"/>
      <x:c r="I13" s="24" t="str">
        <x:f>IF(OR(G13="",H13=""),"",H13-G13)</x:f>
      </x:c>
      <x:c r="J13" s="39" t="str">
        <x:f>IF(I13="","",IF(ABS(I13)&lt;0.01,"Matched","Review"))</x:f>
      </x:c>
    </x:row>
    <x:row r="14">
      <x:c r="A14" s="24" t="str"/>
      <x:c r="B14" s="24" t="str"/>
      <x:c r="C14" s="24" t="str"/>
      <x:c r="D14" s="24" t="str"/>
      <x:c r="E14" s="24" t="str"/>
      <x:c r="F14" s="24" t="str"/>
      <x:c r="G14" s="24" t="str"/>
      <x:c r="H14" s="24" t="str"/>
      <x:c r="I14" s="24" t="str">
        <x:f>IF(OR(G14="",H14=""),"",H14-G14)</x:f>
      </x:c>
      <x:c r="J14" s="39" t="str">
        <x:f>IF(I14="","",IF(ABS(I14)&lt;0.01,"Matched","Review"))</x:f>
      </x:c>
    </x:row>
    <x:row r="15">
      <x:c r="A15" s="24" t="str"/>
      <x:c r="B15" s="24" t="str"/>
      <x:c r="C15" s="24" t="str"/>
      <x:c r="D15" s="24" t="str"/>
      <x:c r="E15" s="24" t="str"/>
      <x:c r="F15" s="24" t="str"/>
      <x:c r="G15" s="24" t="str"/>
      <x:c r="H15" s="24" t="str"/>
      <x:c r="I15" s="24" t="str">
        <x:f>IF(OR(G15="",H15=""),"",H15-G15)</x:f>
      </x:c>
      <x:c r="J15" s="39" t="str">
        <x:f>IF(I15="","",IF(ABS(I15)&lt;0.01,"Matched","Review"))</x:f>
      </x:c>
    </x:row>
    <x:row r="16">
      <x:c r="A16" s="24" t="str"/>
      <x:c r="B16" s="24" t="str"/>
      <x:c r="C16" s="24" t="str"/>
      <x:c r="D16" s="24" t="str"/>
      <x:c r="E16" s="24" t="str"/>
      <x:c r="F16" s="24" t="str"/>
      <x:c r="G16" s="24" t="str"/>
      <x:c r="H16" s="24" t="str"/>
      <x:c r="I16" s="24" t="str">
        <x:f>IF(OR(G16="",H16=""),"",H16-G16)</x:f>
      </x:c>
      <x:c r="J16" s="39" t="str">
        <x:f>IF(I16="","",IF(ABS(I16)&lt;0.01,"Matched","Review"))</x:f>
      </x:c>
    </x:row>
    <x:row r="17">
      <x:c r="A17" s="24" t="str"/>
      <x:c r="B17" s="24" t="str"/>
      <x:c r="C17" s="24" t="str"/>
      <x:c r="D17" s="24" t="str"/>
      <x:c r="E17" s="24" t="str"/>
      <x:c r="F17" s="24" t="str"/>
      <x:c r="G17" s="24" t="str"/>
      <x:c r="H17" s="24" t="str"/>
      <x:c r="I17" s="24" t="str">
        <x:f>IF(OR(G17="",H17=""),"",H17-G17)</x:f>
      </x:c>
      <x:c r="J17" s="39" t="str">
        <x:f>IF(I17="","",IF(ABS(I17)&lt;0.01,"Matched","Review"))</x:f>
      </x:c>
    </x:row>
    <x:row r="18">
      <x:c r="A18" s="24" t="str"/>
      <x:c r="B18" s="24" t="str"/>
      <x:c r="C18" s="24" t="str"/>
      <x:c r="D18" s="24" t="str"/>
      <x:c r="E18" s="24" t="str"/>
      <x:c r="F18" s="24" t="str"/>
      <x:c r="G18" s="24" t="str"/>
      <x:c r="H18" s="24" t="str"/>
      <x:c r="I18" s="24" t="str">
        <x:f>IF(OR(G18="",H18=""),"",H18-G18)</x:f>
      </x:c>
      <x:c r="J18" s="39" t="str">
        <x:f>IF(I18="","",IF(ABS(I18)&lt;0.01,"Matched","Review"))</x:f>
      </x:c>
    </x:row>
    <x:row r="19">
      <x:c r="A19" s="24" t="str"/>
      <x:c r="B19" s="24" t="str"/>
      <x:c r="C19" s="24" t="str"/>
      <x:c r="D19" s="24" t="str"/>
      <x:c r="E19" s="24" t="str"/>
      <x:c r="F19" s="24" t="str"/>
      <x:c r="G19" s="24" t="str"/>
      <x:c r="H19" s="24" t="str"/>
      <x:c r="I19" s="24" t="str">
        <x:f>IF(OR(G19="",H19=""),"",H19-G19)</x:f>
      </x:c>
      <x:c r="J19" s="39" t="str">
        <x:f>IF(I19="","",IF(ABS(I19)&lt;0.01,"Matched","Review"))</x:f>
      </x:c>
    </x:row>
    <x:row r="20">
      <x:c r="A20" s="24" t="str"/>
      <x:c r="B20" s="24" t="str"/>
      <x:c r="C20" s="24" t="str"/>
      <x:c r="D20" s="24" t="str"/>
      <x:c r="E20" s="24" t="str"/>
      <x:c r="F20" s="24" t="str"/>
      <x:c r="G20" s="24" t="str"/>
      <x:c r="H20" s="24" t="str"/>
      <x:c r="I20" s="24" t="str">
        <x:f>IF(OR(G20="",H20=""),"",H20-G20)</x:f>
      </x:c>
      <x:c r="J20" s="39" t="str">
        <x:f>IF(I20="","",IF(ABS(I20)&lt;0.01,"Matched","Review"))</x:f>
      </x:c>
    </x:row>
    <x:row r="21">
      <x:c r="A21" s="24" t="str"/>
      <x:c r="B21" s="24" t="str"/>
      <x:c r="C21" s="24" t="str"/>
      <x:c r="D21" s="24" t="str"/>
      <x:c r="E21" s="24" t="str"/>
      <x:c r="F21" s="24" t="str"/>
      <x:c r="G21" s="24" t="str"/>
      <x:c r="H21" s="24" t="str"/>
      <x:c r="I21" s="24" t="str">
        <x:f>IF(OR(G21="",H21=""),"",H21-G21)</x:f>
      </x:c>
      <x:c r="J21" s="39" t="str">
        <x:f>IF(I21="","",IF(ABS(I21)&lt;0.01,"Matched","Review"))</x:f>
      </x:c>
    </x:row>
    <x:row r="22">
      <x:c r="A22" s="24" t="str"/>
      <x:c r="B22" s="24" t="str"/>
      <x:c r="C22" s="24" t="str"/>
      <x:c r="D22" s="24" t="str"/>
      <x:c r="E22" s="24" t="str"/>
      <x:c r="F22" s="24" t="str"/>
      <x:c r="G22" s="24" t="str"/>
      <x:c r="H22" s="24" t="str"/>
      <x:c r="I22" s="24" t="str">
        <x:f>IF(OR(G22="",H22=""),"",H22-G22)</x:f>
      </x:c>
      <x:c r="J22" s="39" t="str">
        <x:f>IF(I22="","",IF(ABS(I22)&lt;0.01,"Matched","Review"))</x:f>
      </x:c>
    </x:row>
    <x:row r="23">
      <x:c r="A23" s="24" t="str"/>
      <x:c r="B23" s="24" t="str"/>
      <x:c r="C23" s="24" t="str"/>
      <x:c r="D23" s="24" t="str"/>
      <x:c r="E23" s="24" t="str"/>
      <x:c r="F23" s="24" t="str"/>
      <x:c r="G23" s="24" t="str"/>
      <x:c r="H23" s="24" t="str"/>
      <x:c r="I23" s="24" t="str">
        <x:f>IF(OR(G23="",H23=""),"",H23-G23)</x:f>
      </x:c>
      <x:c r="J23" s="39" t="str">
        <x:f>IF(I23="","",IF(ABS(I23)&lt;0.01,"Matched","Review"))</x:f>
      </x:c>
    </x:row>
    <x:row r="24">
      <x:c r="A24" s="24" t="str"/>
      <x:c r="B24" s="24" t="str"/>
      <x:c r="C24" s="24" t="str"/>
      <x:c r="D24" s="24" t="str"/>
      <x:c r="E24" s="24" t="str"/>
      <x:c r="F24" s="24" t="str"/>
      <x:c r="G24" s="24" t="str"/>
      <x:c r="H24" s="24" t="str"/>
      <x:c r="I24" s="24" t="str">
        <x:f>IF(OR(G24="",H24=""),"",H24-G24)</x:f>
      </x:c>
      <x:c r="J24" s="39" t="str">
        <x:f>IF(I24="","",IF(ABS(I24)&lt;0.01,"Matched","Review"))</x:f>
      </x:c>
    </x:row>
    <x:row r="25">
      <x:c r="A25" s="24" t="str"/>
      <x:c r="B25" s="24" t="str"/>
      <x:c r="C25" s="24" t="str"/>
      <x:c r="D25" s="24" t="str"/>
      <x:c r="E25" s="24" t="str"/>
      <x:c r="F25" s="24" t="str"/>
      <x:c r="G25" s="24" t="str"/>
      <x:c r="H25" s="24" t="str"/>
      <x:c r="I25" s="24" t="str">
        <x:f>IF(OR(G25="",H25=""),"",H25-G25)</x:f>
      </x:c>
      <x:c r="J25" s="39" t="str">
        <x:f>IF(I25="","",IF(ABS(I25)&lt;0.01,"Matched","Review"))</x:f>
      </x:c>
    </x:row>
    <x:row r="26">
      <x:c r="A26" s="24" t="str"/>
      <x:c r="B26" s="24" t="str"/>
      <x:c r="C26" s="24" t="str"/>
      <x:c r="D26" s="24" t="str"/>
      <x:c r="E26" s="24" t="str"/>
      <x:c r="F26" s="24" t="str"/>
      <x:c r="G26" s="24" t="str"/>
      <x:c r="H26" s="24" t="str"/>
      <x:c r="I26" s="24" t="str">
        <x:f>IF(OR(G26="",H26=""),"",H26-G26)</x:f>
      </x:c>
      <x:c r="J26" s="39" t="str">
        <x:f>IF(I26="","",IF(ABS(I26)&lt;0.01,"Matched","Review"))</x:f>
      </x:c>
    </x:row>
    <x:row r="27">
      <x:c r="A27" s="24" t="str"/>
      <x:c r="B27" s="24" t="str"/>
      <x:c r="C27" s="24" t="str"/>
      <x:c r="D27" s="24" t="str"/>
      <x:c r="E27" s="24" t="str"/>
      <x:c r="F27" s="24" t="str"/>
      <x:c r="G27" s="24" t="str"/>
      <x:c r="H27" s="24" t="str"/>
      <x:c r="I27" s="24" t="str">
        <x:f>IF(OR(G27="",H27=""),"",H27-G27)</x:f>
      </x:c>
      <x:c r="J27" s="39" t="str">
        <x:f>IF(I27="","",IF(ABS(I27)&lt;0.01,"Matched","Review"))</x:f>
      </x:c>
    </x:row>
    <x:row r="28">
      <x:c r="A28" s="24" t="str"/>
      <x:c r="B28" s="24" t="str"/>
      <x:c r="C28" s="24" t="str"/>
      <x:c r="D28" s="24" t="str"/>
      <x:c r="E28" s="24" t="str"/>
      <x:c r="F28" s="24" t="str"/>
      <x:c r="G28" s="24" t="str"/>
      <x:c r="H28" s="24" t="str"/>
      <x:c r="I28" s="24" t="str">
        <x:f>IF(OR(G28="",H28=""),"",H28-G28)</x:f>
      </x:c>
      <x:c r="J28" s="39" t="str">
        <x:f>IF(I28="","",IF(ABS(I28)&lt;0.01,"Matched","Review"))</x:f>
      </x:c>
    </x:row>
    <x:row r="29">
      <x:c r="A29" s="24" t="str"/>
      <x:c r="B29" s="24" t="str"/>
      <x:c r="C29" s="24" t="str"/>
      <x:c r="D29" s="24" t="str"/>
      <x:c r="E29" s="24" t="str"/>
      <x:c r="F29" s="24" t="str"/>
      <x:c r="G29" s="24" t="str"/>
      <x:c r="H29" s="24" t="str"/>
      <x:c r="I29" s="24" t="str">
        <x:f>IF(OR(G29="",H29=""),"",H29-G29)</x:f>
      </x:c>
      <x:c r="J29" s="39" t="str">
        <x:f>IF(I29="","",IF(ABS(I29)&lt;0.01,"Matched","Review"))</x:f>
      </x:c>
    </x:row>
    <x:row r="30">
      <x:c r="A30" s="24" t="str"/>
      <x:c r="B30" s="24" t="str"/>
      <x:c r="C30" s="24" t="str"/>
      <x:c r="D30" s="24" t="str"/>
      <x:c r="E30" s="24" t="str"/>
      <x:c r="F30" s="24" t="str"/>
      <x:c r="G30" s="24" t="str"/>
      <x:c r="H30" s="24" t="str"/>
      <x:c r="I30" s="24" t="str">
        <x:f>IF(OR(G30="",H30=""),"",H30-G30)</x:f>
      </x:c>
      <x:c r="J30" s="39" t="str">
        <x:f>IF(I30="","",IF(ABS(I30)&lt;0.01,"Matched","Review"))</x:f>
      </x:c>
    </x:row>
    <x:row r="31">
      <x:c r="A31" s="24" t="str"/>
      <x:c r="B31" s="24" t="str"/>
      <x:c r="C31" s="24" t="str"/>
      <x:c r="D31" s="24" t="str"/>
      <x:c r="E31" s="24" t="str"/>
      <x:c r="F31" s="24" t="str"/>
      <x:c r="G31" s="24" t="str"/>
      <x:c r="H31" s="24" t="str"/>
      <x:c r="I31" s="24" t="str">
        <x:f>IF(OR(G31="",H31=""),"",H31-G31)</x:f>
      </x:c>
      <x:c r="J31" s="39" t="str">
        <x:f>IF(I31="","",IF(ABS(I31)&lt;0.01,"Matched","Review"))</x:f>
      </x:c>
    </x:row>
    <x:row r="32">
      <x:c r="A32" s="24" t="str"/>
      <x:c r="B32" s="24" t="str"/>
      <x:c r="C32" s="24" t="str"/>
      <x:c r="D32" s="24" t="str"/>
      <x:c r="E32" s="24" t="str"/>
      <x:c r="F32" s="24" t="str"/>
      <x:c r="G32" s="24" t="str"/>
      <x:c r="H32" s="24" t="str"/>
      <x:c r="I32" s="24" t="str">
        <x:f>IF(OR(G32="",H32=""),"",H32-G32)</x:f>
      </x:c>
      <x:c r="J32" s="39" t="str">
        <x:f>IF(I32="","",IF(ABS(I32)&lt;0.01,"Matched","Review"))</x:f>
      </x:c>
    </x:row>
    <x:row r="33">
      <x:c r="A33" s="24" t="str"/>
      <x:c r="B33" s="24" t="str"/>
      <x:c r="C33" s="24" t="str"/>
      <x:c r="D33" s="24" t="str"/>
      <x:c r="E33" s="24" t="str"/>
      <x:c r="F33" s="24" t="str"/>
      <x:c r="G33" s="24" t="str"/>
      <x:c r="H33" s="24" t="str"/>
      <x:c r="I33" s="24" t="str">
        <x:f>IF(OR(G33="",H33=""),"",H33-G33)</x:f>
      </x:c>
      <x:c r="J33" s="39" t="str">
        <x:f>IF(I33="","",IF(ABS(I33)&lt;0.01,"Matched","Review"))</x:f>
      </x:c>
    </x:row>
    <x:row r="34">
      <x:c r="A34" s="24" t="str"/>
      <x:c r="B34" s="24" t="str"/>
      <x:c r="C34" s="24" t="str"/>
      <x:c r="D34" s="24" t="str"/>
      <x:c r="E34" s="24" t="str"/>
      <x:c r="F34" s="24" t="str"/>
      <x:c r="G34" s="24" t="str"/>
      <x:c r="H34" s="24" t="str"/>
      <x:c r="I34" s="24" t="str">
        <x:f>IF(OR(G34="",H34=""),"",H34-G34)</x:f>
      </x:c>
      <x:c r="J34" s="39" t="str">
        <x:f>IF(I34="","",IF(ABS(I34)&lt;0.01,"Matched","Review"))</x:f>
      </x:c>
    </x:row>
    <x:row r="35">
      <x:c r="A35" s="24" t="str"/>
      <x:c r="B35" s="24" t="str"/>
      <x:c r="C35" s="24" t="str"/>
      <x:c r="D35" s="24" t="str"/>
      <x:c r="E35" s="24" t="str"/>
      <x:c r="F35" s="24" t="str"/>
      <x:c r="G35" s="24" t="str"/>
      <x:c r="H35" s="24" t="str"/>
      <x:c r="I35" s="24" t="str">
        <x:f>IF(OR(G35="",H35=""),"",H35-G35)</x:f>
      </x:c>
      <x:c r="J35" s="39" t="str">
        <x:f>IF(I35="","",IF(ABS(I35)&lt;0.01,"Matched","Review"))</x:f>
      </x:c>
    </x:row>
    <x:row r="36">
      <x:c r="A36" s="24" t="str"/>
      <x:c r="B36" s="24" t="str"/>
      <x:c r="C36" s="24" t="str"/>
      <x:c r="D36" s="24" t="str"/>
      <x:c r="E36" s="24" t="str"/>
      <x:c r="F36" s="24" t="str"/>
      <x:c r="G36" s="24" t="str"/>
      <x:c r="H36" s="24" t="str"/>
      <x:c r="I36" s="24" t="str">
        <x:f>IF(OR(G36="",H36=""),"",H36-G36)</x:f>
      </x:c>
      <x:c r="J36" s="39" t="str">
        <x:f>IF(I36="","",IF(ABS(I36)&lt;0.01,"Matched","Review"))</x:f>
      </x:c>
    </x:row>
    <x:row r="37">
      <x:c r="A37" s="24" t="str"/>
      <x:c r="B37" s="24" t="str"/>
      <x:c r="C37" s="24" t="str"/>
      <x:c r="D37" s="24" t="str"/>
      <x:c r="E37" s="24" t="str"/>
      <x:c r="F37" s="24" t="str"/>
      <x:c r="G37" s="24" t="str"/>
      <x:c r="H37" s="24" t="str"/>
      <x:c r="I37" s="24" t="str">
        <x:f>IF(OR(G37="",H37=""),"",H37-G37)</x:f>
      </x:c>
      <x:c r="J37" s="39" t="str">
        <x:f>IF(I37="","",IF(ABS(I37)&lt;0.01,"Matched","Review"))</x:f>
      </x:c>
    </x:row>
    <x:row r="38">
      <x:c r="A38" s="24" t="str"/>
      <x:c r="B38" s="24" t="str"/>
      <x:c r="C38" s="24" t="str"/>
      <x:c r="D38" s="24" t="str"/>
      <x:c r="E38" s="24" t="str"/>
      <x:c r="F38" s="24" t="str"/>
      <x:c r="G38" s="24" t="str"/>
      <x:c r="H38" s="24" t="str"/>
      <x:c r="I38" s="24" t="str">
        <x:f>IF(OR(G38="",H38=""),"",H38-G38)</x:f>
      </x:c>
      <x:c r="J38" s="39" t="str">
        <x:f>IF(I38="","",IF(ABS(I38)&lt;0.01,"Matched","Review"))</x:f>
      </x:c>
    </x:row>
    <x:row r="39">
      <x:c r="A39" s="24" t="str"/>
      <x:c r="B39" s="24" t="str"/>
      <x:c r="C39" s="24" t="str"/>
      <x:c r="D39" s="24" t="str"/>
      <x:c r="E39" s="24" t="str"/>
      <x:c r="F39" s="24" t="str"/>
      <x:c r="G39" s="24" t="str"/>
      <x:c r="H39" s="24" t="str"/>
      <x:c r="I39" s="24" t="str">
        <x:f>IF(OR(G39="",H39=""),"",H39-G39)</x:f>
      </x:c>
      <x:c r="J39" s="39" t="str">
        <x:f>IF(I39="","",IF(ABS(I39)&lt;0.01,"Matched","Review"))</x:f>
      </x:c>
    </x:row>
    <x:row r="40">
      <x:c r="A40" s="24" t="str"/>
      <x:c r="B40" s="24" t="str"/>
      <x:c r="C40" s="24" t="str"/>
      <x:c r="D40" s="24" t="str"/>
      <x:c r="E40" s="24" t="str"/>
      <x:c r="F40" s="24" t="str"/>
      <x:c r="G40" s="24" t="str"/>
      <x:c r="H40" s="24" t="str"/>
      <x:c r="I40" s="24" t="str">
        <x:f>IF(OR(G40="",H40=""),"",H40-G40)</x:f>
      </x:c>
      <x:c r="J40" s="39" t="str">
        <x:f>IF(I40="","",IF(ABS(I40)&lt;0.01,"Matched","Review"))</x:f>
      </x:c>
    </x:row>
    <x:row r="41">
      <x:c r="A41" s="24" t="str"/>
      <x:c r="B41" s="24" t="str"/>
      <x:c r="C41" s="24" t="str"/>
      <x:c r="D41" s="24" t="str"/>
      <x:c r="E41" s="24" t="str"/>
      <x:c r="F41" s="24" t="str"/>
      <x:c r="G41" s="24" t="str"/>
      <x:c r="H41" s="24" t="str"/>
      <x:c r="I41" s="24" t="str">
        <x:f>IF(OR(G41="",H41=""),"",H41-G41)</x:f>
      </x:c>
      <x:c r="J41" s="39" t="str">
        <x:f>IF(I41="","",IF(ABS(I41)&lt;0.01,"Matched","Review"))</x:f>
      </x:c>
    </x:row>
    <x:row r="42">
      <x:c r="A42" s="24" t="str"/>
      <x:c r="B42" s="24" t="str"/>
      <x:c r="C42" s="24" t="str"/>
      <x:c r="D42" s="24" t="str"/>
      <x:c r="E42" s="24" t="str"/>
      <x:c r="F42" s="24" t="str"/>
      <x:c r="G42" s="24" t="str"/>
      <x:c r="H42" s="24" t="str"/>
      <x:c r="I42" s="24" t="str">
        <x:f>IF(OR(G42="",H42=""),"",H42-G42)</x:f>
      </x:c>
      <x:c r="J42" s="39" t="str">
        <x:f>IF(I42="","",IF(ABS(I42)&lt;0.01,"Matched","Review"))</x:f>
      </x:c>
    </x:row>
    <x:row r="43">
      <x:c r="A43" s="24" t="str"/>
      <x:c r="B43" s="24" t="str"/>
      <x:c r="C43" s="24" t="str"/>
      <x:c r="D43" s="24" t="str"/>
      <x:c r="E43" s="24" t="str"/>
      <x:c r="F43" s="24" t="str"/>
      <x:c r="G43" s="24" t="str"/>
      <x:c r="H43" s="24" t="str"/>
      <x:c r="I43" s="24" t="str">
        <x:f>IF(OR(G43="",H43=""),"",H43-G43)</x:f>
      </x:c>
      <x:c r="J43" s="39" t="str">
        <x:f>IF(I43="","",IF(ABS(I43)&lt;0.01,"Matched","Review"))</x:f>
      </x:c>
    </x:row>
    <x:row r="44">
      <x:c r="A44" s="24" t="str"/>
      <x:c r="B44" s="24" t="str"/>
      <x:c r="C44" s="24" t="str"/>
      <x:c r="D44" s="24" t="str"/>
      <x:c r="E44" s="24" t="str"/>
      <x:c r="F44" s="24" t="str"/>
      <x:c r="G44" s="24" t="str"/>
      <x:c r="H44" s="24" t="str"/>
      <x:c r="I44" s="24" t="str">
        <x:f>IF(OR(G44="",H44=""),"",H44-G44)</x:f>
      </x:c>
      <x:c r="J44" s="39" t="str">
        <x:f>IF(I44="","",IF(ABS(I44)&lt;0.01,"Matched","Review"))</x:f>
      </x:c>
    </x:row>
    <x:row r="45">
      <x:c r="A45" s="24" t="str"/>
      <x:c r="B45" s="24" t="str"/>
      <x:c r="C45" s="24" t="str"/>
      <x:c r="D45" s="24" t="str"/>
      <x:c r="E45" s="24" t="str"/>
      <x:c r="F45" s="24" t="str"/>
      <x:c r="G45" s="24" t="str"/>
      <x:c r="H45" s="24" t="str"/>
      <x:c r="I45" s="24" t="str">
        <x:f>IF(OR(G45="",H45=""),"",H45-G45)</x:f>
      </x:c>
      <x:c r="J45" s="39" t="str">
        <x:f>IF(I45="","",IF(ABS(I45)&lt;0.01,"Matched","Review"))</x:f>
      </x:c>
    </x:row>
    <x:row r="46">
      <x:c r="A46" s="24" t="str"/>
      <x:c r="B46" s="24" t="str"/>
      <x:c r="C46" s="24" t="str"/>
      <x:c r="D46" s="24" t="str"/>
      <x:c r="E46" s="24" t="str"/>
      <x:c r="F46" s="24" t="str"/>
      <x:c r="G46" s="24" t="str"/>
      <x:c r="H46" s="24" t="str"/>
      <x:c r="I46" s="24" t="str">
        <x:f>IF(OR(G46="",H46=""),"",H46-G46)</x:f>
      </x:c>
      <x:c r="J46" s="39" t="str">
        <x:f>IF(I46="","",IF(ABS(I46)&lt;0.01,"Matched","Review"))</x:f>
      </x:c>
    </x:row>
    <x:row r="47">
      <x:c r="A47" s="24" t="str"/>
      <x:c r="B47" s="24" t="str"/>
      <x:c r="C47" s="24" t="str"/>
      <x:c r="D47" s="24" t="str"/>
      <x:c r="E47" s="24" t="str"/>
      <x:c r="F47" s="24" t="str"/>
      <x:c r="G47" s="24" t="str"/>
      <x:c r="H47" s="24" t="str"/>
      <x:c r="I47" s="24" t="str">
        <x:f>IF(OR(G47="",H47=""),"",H47-G47)</x:f>
      </x:c>
      <x:c r="J47" s="39" t="str">
        <x:f>IF(I47="","",IF(ABS(I47)&lt;0.01,"Matched","Review"))</x:f>
      </x:c>
    </x:row>
    <x:row r="48">
      <x:c r="A48" s="24" t="str"/>
      <x:c r="B48" s="24" t="str"/>
      <x:c r="C48" s="24" t="str"/>
      <x:c r="D48" s="24" t="str"/>
      <x:c r="E48" s="24" t="str"/>
      <x:c r="F48" s="24" t="str"/>
      <x:c r="G48" s="24" t="str"/>
      <x:c r="H48" s="24" t="str"/>
      <x:c r="I48" s="24" t="str">
        <x:f>IF(OR(G48="",H48=""),"",H48-G48)</x:f>
      </x:c>
      <x:c r="J48" s="39" t="str">
        <x:f>IF(I48="","",IF(ABS(I48)&lt;0.01,"Matched","Review"))</x:f>
      </x:c>
    </x:row>
    <x:row r="49">
      <x:c r="A49" s="24" t="str"/>
      <x:c r="B49" s="24" t="str"/>
      <x:c r="C49" s="24" t="str"/>
      <x:c r="D49" s="24" t="str"/>
      <x:c r="E49" s="24" t="str"/>
      <x:c r="F49" s="24" t="str"/>
      <x:c r="G49" s="24" t="str"/>
      <x:c r="H49" s="24" t="str"/>
      <x:c r="I49" s="24" t="str">
        <x:f>IF(OR(G49="",H49=""),"",H49-G49)</x:f>
      </x:c>
      <x:c r="J49" s="39" t="str">
        <x:f>IF(I49="","",IF(ABS(I49)&lt;0.01,"Matched","Review"))</x:f>
      </x:c>
    </x:row>
    <x:row r="50">
      <x:c r="A50" s="24" t="str"/>
      <x:c r="B50" s="24" t="str"/>
      <x:c r="C50" s="24" t="str"/>
      <x:c r="D50" s="24" t="str"/>
      <x:c r="E50" s="24" t="str"/>
      <x:c r="F50" s="24" t="str"/>
      <x:c r="G50" s="24" t="str"/>
      <x:c r="H50" s="24" t="str"/>
      <x:c r="I50" s="24" t="str">
        <x:f>IF(OR(G50="",H50=""),"",H50-G50)</x:f>
      </x:c>
      <x:c r="J50" s="39" t="str">
        <x:f>IF(I50="","",IF(ABS(I50)&lt;0.01,"Matched","Review"))</x:f>
      </x:c>
    </x:row>
    <x:row r="51">
      <x:c r="A51" s="24" t="str"/>
      <x:c r="B51" s="24" t="str"/>
      <x:c r="C51" s="24" t="str"/>
      <x:c r="D51" s="24" t="str"/>
      <x:c r="E51" s="24" t="str"/>
      <x:c r="F51" s="24" t="str"/>
      <x:c r="G51" s="24" t="str"/>
      <x:c r="H51" s="24" t="str"/>
      <x:c r="I51" s="24" t="str">
        <x:f>IF(OR(G51="",H51=""),"",H51-G51)</x:f>
      </x:c>
      <x:c r="J51" s="39" t="str">
        <x:f>IF(I51="","",IF(ABS(I51)&lt;0.01,"Matched","Review"))</x:f>
      </x:c>
    </x:row>
    <x:row r="52">
      <x:c r="A52" s="24" t="str"/>
      <x:c r="B52" s="24" t="str"/>
      <x:c r="C52" s="24" t="str"/>
      <x:c r="D52" s="24" t="str"/>
      <x:c r="E52" s="24" t="str"/>
      <x:c r="F52" s="24" t="str"/>
      <x:c r="G52" s="24" t="str"/>
      <x:c r="H52" s="24" t="str"/>
      <x:c r="I52" s="24" t="str">
        <x:f>IF(OR(G52="",H52=""),"",H52-G52)</x:f>
      </x:c>
      <x:c r="J52" s="39" t="str">
        <x:f>IF(I52="","",IF(ABS(I52)&lt;0.01,"Matched","Review"))</x:f>
      </x:c>
    </x:row>
    <x:row r="53">
      <x:c r="A53" s="24" t="str"/>
      <x:c r="B53" s="24" t="str"/>
      <x:c r="C53" s="24" t="str"/>
      <x:c r="D53" s="24" t="str"/>
      <x:c r="E53" s="24" t="str"/>
      <x:c r="F53" s="24" t="str"/>
      <x:c r="G53" s="24" t="str"/>
      <x:c r="H53" s="24" t="str"/>
      <x:c r="I53" s="24" t="str">
        <x:f>IF(OR(G53="",H53=""),"",H53-G53)</x:f>
      </x:c>
      <x:c r="J53" s="39" t="str">
        <x:f>IF(I53="","",IF(ABS(I53)&lt;0.01,"Matched","Review"))</x:f>
      </x:c>
    </x:row>
    <x:row r="54">
      <x:c r="A54" s="39" t="str"/>
      <x:c r="B54" s="39" t="str"/>
      <x:c r="C54" s="39" t="str"/>
      <x:c r="D54" s="39" t="str"/>
      <x:c r="E54" s="39" t="str"/>
      <x:c r="F54" s="39" t="str"/>
      <x:c r="G54" s="39" t="str"/>
      <x:c r="H54" s="39" t="str"/>
      <x:c r="I54" s="39" t="str">
        <x:f>IF(OR(G54="",H54=""),"",H54-G54)</x:f>
      </x:c>
      <x:c r="J54" s="39" t="str">
        <x:f>IF(I54="","",IF(ABS(I54)&lt;0.01,"Matched","Review"))</x:f>
      </x:c>
    </x:row>
  </x:sheetData>
  <x:mergeCells>
    <x:mergeCell ref="A1:J1"/>
    <x:mergeCell ref="A2:J2"/>
  </x:mergeCells>
  <x:dataValidations count="1">
    <x:dataValidation type="list" sqref="B5:B54">
      <x:formula1>"Commission,Wholesale,Mixed"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e9ff7736d4467a"/>
  </x:tableParts>
</x:worksheet>
</file>