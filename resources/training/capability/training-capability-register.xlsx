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c623a6a2b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a97518567324ae6"/>
    <x:sheet xmlns:r="http://schemas.openxmlformats.org/officeDocument/2006/relationships" name="Tracker" sheetId="2" r:id="R674e62ddb0aa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201" fontId="6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3450f88064f09" /><Relationship Type="http://schemas.openxmlformats.org/officeDocument/2006/relationships/theme" Target="/xl/theme/theme1.xml" Id="R42ac72f242874d2a" /><Relationship Type="http://schemas.openxmlformats.org/officeDocument/2006/relationships/sharedStrings" Target="/xl/sharedStrings.xml" Id="R490c5e9e243c4c89" /><Relationship Type="http://schemas.openxmlformats.org/officeDocument/2006/relationships/worksheet" Target="/xl/worksheets/sheet1.xml" Id="Rba97518567324ae6" /><Relationship Type="http://schemas.openxmlformats.org/officeDocument/2006/relationships/worksheet" Target="/xl/worksheets/sheet2.xml" Id="R674e62ddb0aa4de5" /></Relationships>
</file>

<file path=xl/tables/table1.xml><?xml version="1.0" encoding="utf-8"?>
<x:table xmlns:x="http://schemas.openxmlformats.org/spreadsheetml/2006/main" id="1" name="CapabilityTable" displayName="CapabilityTable" ref="A7:M107" headerRowCount="1">
  <x:tableColumns count="13">
    <x:tableColumn id="1" name="Team member"/>
    <x:tableColumn id="2" name="Role"/>
    <x:tableColumn id="3" name="Learning topic"/>
    <x:tableColumn id="4" name="Requirement"/>
    <x:tableColumn id="5" name="Session or recording complete"/>
    <x:tableColumn id="6" name="Sandbox activity complete"/>
    <x:tableColumn id="7" name="Evidence reviewed"/>
    <x:tableColumn id="8" name="Competency status"/>
    <x:tableColumn id="9" name="Reviewer"/>
    <x:tableColumn id="10" name="Completion date"/>
    <x:tableColumn id="11" name="Refresher due"/>
    <x:tableColumn id="12" name="Backup coverag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f65f327a6147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Training Capability Register</x:v>
      </x:c>
      <x:c r="B1" s="28"/>
      <x:c r="C1" s="28"/>
      <x:c r="D1" s="28"/>
      <x:c r="E1" s="28"/>
      <x:c r="F1" s="28"/>
    </x:row>
    <x:row r="2" ht="26" customHeight="1">
      <x:c r="A2" s="11" t="str">
        <x:v>Record learning assignment, practical activity, competency confirmation and refresher needs.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Use after defining role expectations in the Role-Based Learning Matrix.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6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3" hidden="0" customWidth="1"/>
    <x:col min="11" max="11" width="13" hidden="0" customWidth="1"/>
    <x:col min="12" max="12" width="18" hidden="0" customWidth="1"/>
    <x:col min="13" max="13" width="28" hidden="0" customWidth="1"/>
  </x:cols>
  <x:sheetData>
    <x:row r="1" ht="30" customHeight="1">
      <x:c r="A1" s="4" t="str">
        <x:v>Training Capability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11" t="str">
        <x:v>Record learning assignment, practical activity, competency confirmation and refresher needs.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30" customHeight="1">
      <x:c r="A3" s="73" t="str">
        <x:v>Core learning topics are included. Assign each topic to the relevant team member, record practical evidence and confirm backup coverage.</x:v>
      </x:c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4"/>
    </x:row>
    <x:row r="4">
      <x:c r="A4" s="35" t="str">
        <x:v>Assigned topics</x:v>
      </x:c>
      <x:c r="B4" s="35"/>
      <x:c r="C4" s="35" t="str">
        <x:v>Competent</x:v>
      </x:c>
      <x:c r="D4" s="35"/>
      <x:c r="E4" s="35" t="str">
        <x:v>In progress</x:v>
      </x:c>
      <x:c r="F4" s="35"/>
      <x:c r="G4" s="35" t="str">
        <x:v>Refresher due</x:v>
      </x:c>
      <x:c r="H4" s="35"/>
      <x:c r="M4" s="54"/>
    </x:row>
    <x:row r="5">
      <x:c r="A5" s="43" t="n">
        <x:f>COUNTIF(CapabilityTable[Learning topic],"&lt;&gt;")</x:f>
        <x:v>13</x:v>
      </x:c>
      <x:c r="B5" s="43"/>
      <x:c r="C5" s="43" t="n">
        <x:f>COUNTIF(CapabilityTable[Competency status],"Competent")</x:f>
        <x:v>0</x:v>
      </x:c>
      <x:c r="D5" s="43"/>
      <x:c r="E5" s="43" t="n">
        <x:f>COUNTIF(CapabilityTable[Competency status],"In progress")</x:f>
        <x:v>0</x:v>
      </x:c>
      <x:c r="F5" s="43"/>
      <x:c r="G5" s="75" t="str">
        <x:f>TEXT(COUNTIFS(CapabilityTable[Refresher due],"&lt;="&amp;TODAY(),CapabilityTable[Refresher due],"&gt;0"),"0")</x:f>
        <x:v>0</x:v>
      </x:c>
      <x:c r="H5" s="43"/>
      <x:c r="M5" s="54"/>
    </x:row>
    <x:row r="6">
      <x:c r="M6" s="54"/>
    </x:row>
    <x:row r="7" ht="28" customHeight="1">
      <x:c r="A7" s="18" t="str">
        <x:v>Team member</x:v>
      </x:c>
      <x:c r="B7" s="18" t="str">
        <x:v>Role</x:v>
      </x:c>
      <x:c r="C7" s="18" t="str">
        <x:v>Learning topic</x:v>
      </x:c>
      <x:c r="D7" s="18" t="str">
        <x:v>Requirement</x:v>
      </x:c>
      <x:c r="E7" s="18" t="str">
        <x:v>Session or recording complete</x:v>
      </x:c>
      <x:c r="F7" s="18" t="str">
        <x:v>Sandbox activity complete</x:v>
      </x:c>
      <x:c r="G7" s="18" t="str">
        <x:v>Evidence reviewed</x:v>
      </x:c>
      <x:c r="H7" s="18" t="str">
        <x:v>Competency status</x:v>
      </x:c>
      <x:c r="I7" s="18" t="str">
        <x:v>Reviewer</x:v>
      </x:c>
      <x:c r="J7" s="18" t="str">
        <x:v>Completion date</x:v>
      </x:c>
      <x:c r="K7" s="18" t="str">
        <x:v>Refresher due</x:v>
      </x:c>
      <x:c r="L7" s="18" t="str">
        <x:v>Backup coverage</x:v>
      </x:c>
      <x:c r="M7" s="57" t="str">
        <x:v>Notes</x:v>
      </x:c>
    </x:row>
    <x:row r="8">
      <x:c r="A8" s="24" t="str"/>
      <x:c r="B8" s="24" t="str"/>
      <x:c r="C8" s="24" t="str">
        <x:v>Platform foundations and environments</x:v>
      </x:c>
      <x:c r="D8" s="24" t="str">
        <x:v>Required</x:v>
      </x:c>
      <x:c r="E8" s="24" t="str">
        <x:v>No</x:v>
      </x:c>
      <x:c r="F8" s="24" t="str">
        <x:v>No</x:v>
      </x:c>
      <x:c r="G8" s="24" t="str">
        <x:v>No</x:v>
      </x:c>
      <x:c r="H8" s="24" t="str">
        <x:v>Not started</x:v>
      </x:c>
      <x:c r="I8" s="24" t="str"/>
      <x:c r="J8" s="48"/>
      <x:c r="K8" s="48"/>
      <x:c r="L8" s="24" t="str"/>
      <x:c r="M8" s="60" t="str"/>
    </x:row>
    <x:row r="9">
      <x:c r="A9" s="24" t="str"/>
      <x:c r="B9" s="24" t="str"/>
      <x:c r="C9" s="24" t="str">
        <x:v>Users, roles, MFA and security</x:v>
      </x:c>
      <x:c r="D9" s="24" t="str">
        <x:v>Required</x:v>
      </x:c>
      <x:c r="E9" s="24" t="str">
        <x:v>No</x:v>
      </x:c>
      <x:c r="F9" s="24" t="str">
        <x:v>No</x:v>
      </x:c>
      <x:c r="G9" s="24" t="str">
        <x:v>No</x:v>
      </x:c>
      <x:c r="H9" s="24" t="str">
        <x:v>Not started</x:v>
      </x:c>
      <x:c r="I9" s="24" t="str"/>
      <x:c r="J9" s="48"/>
      <x:c r="K9" s="48"/>
      <x:c r="L9" s="24" t="str"/>
      <x:c r="M9" s="60" t="str"/>
    </x:row>
    <x:row r="10">
      <x:c r="A10" s="24" t="str"/>
      <x:c r="B10" s="24" t="str"/>
      <x:c r="C10" s="24" t="str">
        <x:v>Marketplace structure and Product model</x:v>
      </x:c>
      <x:c r="D10" s="24" t="str">
        <x:v>Required</x:v>
      </x:c>
      <x:c r="E10" s="24" t="str">
        <x:v>No</x:v>
      </x:c>
      <x:c r="F10" s="24" t="str">
        <x:v>No</x:v>
      </x:c>
      <x:c r="G10" s="24" t="str">
        <x:v>No</x:v>
      </x:c>
      <x:c r="H10" s="24" t="str">
        <x:v>Not started</x:v>
      </x:c>
      <x:c r="I10" s="24" t="str"/>
      <x:c r="J10" s="48"/>
      <x:c r="K10" s="48"/>
      <x:c r="L10" s="24" t="str"/>
      <x:c r="M10" s="60" t="str"/>
    </x:row>
    <x:row r="11">
      <x:c r="A11" s="24" t="str"/>
      <x:c r="B11" s="24" t="str"/>
      <x:c r="C11" s="24" t="str">
        <x:v>Commission, wholesale, tax and marketplace Finance</x:v>
      </x:c>
      <x:c r="D11" s="24" t="str">
        <x:v>Required</x:v>
      </x:c>
      <x:c r="E11" s="24" t="str">
        <x:v>No</x:v>
      </x:c>
      <x:c r="F11" s="24" t="str">
        <x:v>No</x:v>
      </x:c>
      <x:c r="G11" s="24" t="str">
        <x:v>No</x:v>
      </x:c>
      <x:c r="H11" s="24" t="str">
        <x:v>Not started</x:v>
      </x:c>
      <x:c r="I11" s="24" t="str"/>
      <x:c r="J11" s="48"/>
      <x:c r="K11" s="48"/>
      <x:c r="L11" s="24" t="str"/>
      <x:c r="M11" s="60" t="str"/>
    </x:row>
    <x:row r="12">
      <x:c r="A12" s="24" t="str"/>
      <x:c r="B12" s="24" t="str"/>
      <x:c r="C12" s="24" t="str">
        <x:v>Seller lifecycle and onboarding</x:v>
      </x:c>
      <x:c r="D12" s="24" t="str">
        <x:v>Required</x:v>
      </x:c>
      <x:c r="E12" s="24" t="str">
        <x:v>No</x:v>
      </x:c>
      <x:c r="F12" s="24" t="str">
        <x:v>No</x:v>
      </x:c>
      <x:c r="G12" s="24" t="str">
        <x:v>No</x:v>
      </x:c>
      <x:c r="H12" s="24" t="str">
        <x:v>Not started</x:v>
      </x:c>
      <x:c r="I12" s="24" t="str"/>
      <x:c r="J12" s="48"/>
      <x:c r="K12" s="48"/>
      <x:c r="L12" s="24" t="str"/>
      <x:c r="M12" s="60" t="str"/>
    </x:row>
    <x:row r="13">
      <x:c r="A13" s="24" t="str"/>
      <x:c r="B13" s="24" t="str"/>
      <x:c r="C13" s="24" t="str">
        <x:v>Product ingestion, Mapping, Catalog Rules and Product Vetting</x:v>
      </x:c>
      <x:c r="D13" s="24" t="str">
        <x:v>Required</x:v>
      </x:c>
      <x:c r="E13" s="24" t="str">
        <x:v>No</x:v>
      </x:c>
      <x:c r="F13" s="24" t="str">
        <x:v>No</x:v>
      </x:c>
      <x:c r="G13" s="24" t="str">
        <x:v>No</x:v>
      </x:c>
      <x:c r="H13" s="24" t="str">
        <x:v>Not started</x:v>
      </x:c>
      <x:c r="I13" s="24" t="str"/>
      <x:c r="J13" s="48"/>
      <x:c r="K13" s="48"/>
      <x:c r="L13" s="24" t="str"/>
      <x:c r="M13" s="60" t="str"/>
    </x:row>
    <x:row r="14">
      <x:c r="A14" s="24" t="str"/>
      <x:c r="B14" s="24" t="str"/>
      <x:c r="C14" s="24" t="str">
        <x:v>Orders, Seller Invoices and fulfilment</x:v>
      </x:c>
      <x:c r="D14" s="24" t="str">
        <x:v>Required</x:v>
      </x:c>
      <x:c r="E14" s="24" t="str">
        <x:v>No</x:v>
      </x:c>
      <x:c r="F14" s="24" t="str">
        <x:v>No</x:v>
      </x:c>
      <x:c r="G14" s="24" t="str">
        <x:v>No</x:v>
      </x:c>
      <x:c r="H14" s="24" t="str">
        <x:v>Not started</x:v>
      </x:c>
      <x:c r="I14" s="24" t="str"/>
      <x:c r="J14" s="48"/>
      <x:c r="K14" s="48"/>
      <x:c r="L14" s="24" t="str"/>
      <x:c r="M14" s="60" t="str"/>
    </x:row>
    <x:row r="15">
      <x:c r="A15" s="24" t="str"/>
      <x:c r="B15" s="24" t="str"/>
      <x:c r="C15" s="24" t="str">
        <x:v>Cancellations, returns and refunds</x:v>
      </x:c>
      <x:c r="D15" s="24" t="str">
        <x:v>Required</x:v>
      </x:c>
      <x:c r="E15" s="24" t="str">
        <x:v>No</x:v>
      </x:c>
      <x:c r="F15" s="24" t="str">
        <x:v>No</x:v>
      </x:c>
      <x:c r="G15" s="24" t="str">
        <x:v>No</x:v>
      </x:c>
      <x:c r="H15" s="24" t="str">
        <x:v>Not started</x:v>
      </x:c>
      <x:c r="I15" s="24" t="str"/>
      <x:c r="J15" s="48"/>
      <x:c r="K15" s="48"/>
      <x:c r="L15" s="24" t="str"/>
      <x:c r="M15" s="60" t="str"/>
    </x:row>
    <x:row r="16">
      <x:c r="A16" s="24" t="str"/>
      <x:c r="B16" s="24" t="str"/>
      <x:c r="C16" s="24" t="str">
        <x:v>Remittance, payout, reporting and reconciliation</x:v>
      </x:c>
      <x:c r="D16" s="24" t="str">
        <x:v>Required</x:v>
      </x:c>
      <x:c r="E16" s="24" t="str">
        <x:v>No</x:v>
      </x:c>
      <x:c r="F16" s="24" t="str">
        <x:v>No</x:v>
      </x:c>
      <x:c r="G16" s="24" t="str">
        <x:v>No</x:v>
      </x:c>
      <x:c r="H16" s="24" t="str">
        <x:v>Not started</x:v>
      </x:c>
      <x:c r="I16" s="24" t="str"/>
      <x:c r="J16" s="48"/>
      <x:c r="K16" s="48"/>
      <x:c r="L16" s="24" t="str"/>
      <x:c r="M16" s="60" t="str"/>
    </x:row>
    <x:row r="17">
      <x:c r="A17" s="24" t="str"/>
      <x:c r="B17" s="24" t="str"/>
      <x:c r="C17" s="24" t="str">
        <x:v>MConnect, APIs, Webhooks and integration recovery</x:v>
      </x:c>
      <x:c r="D17" s="24" t="str">
        <x:v>Conditional</x:v>
      </x:c>
      <x:c r="E17" s="24" t="str">
        <x:v>No</x:v>
      </x:c>
      <x:c r="F17" s="24" t="str">
        <x:v>No</x:v>
      </x:c>
      <x:c r="G17" s="24" t="str">
        <x:v>No</x:v>
      </x:c>
      <x:c r="H17" s="24" t="str">
        <x:v>Not started</x:v>
      </x:c>
      <x:c r="I17" s="24" t="str"/>
      <x:c r="J17" s="48"/>
      <x:c r="K17" s="48"/>
      <x:c r="L17" s="24" t="str"/>
      <x:c r="M17" s="60" t="str"/>
    </x:row>
    <x:row r="18">
      <x:c r="A18" s="24" t="str"/>
      <x:c r="B18" s="24" t="str"/>
      <x:c r="C18" s="24" t="str">
        <x:v>Testing Strategy and End-to-End Testing</x:v>
      </x:c>
      <x:c r="D18" s="24" t="str">
        <x:v>Required</x:v>
      </x:c>
      <x:c r="E18" s="24" t="str">
        <x:v>No</x:v>
      </x:c>
      <x:c r="F18" s="24" t="str">
        <x:v>No</x:v>
      </x:c>
      <x:c r="G18" s="24" t="str">
        <x:v>No</x:v>
      </x:c>
      <x:c r="H18" s="24" t="str">
        <x:v>Not started</x:v>
      </x:c>
      <x:c r="I18" s="24" t="str"/>
      <x:c r="J18" s="48"/>
      <x:c r="K18" s="48"/>
      <x:c r="L18" s="24" t="str"/>
      <x:c r="M18" s="60" t="str"/>
    </x:row>
    <x:row r="19">
      <x:c r="A19" s="24" t="str"/>
      <x:c r="B19" s="24" t="str"/>
      <x:c r="C19" s="24" t="str">
        <x:v>Seller Launch Readiness, Production Readiness and Go-Live</x:v>
      </x:c>
      <x:c r="D19" s="24" t="str">
        <x:v>Required</x:v>
      </x:c>
      <x:c r="E19" s="24" t="str">
        <x:v>No</x:v>
      </x:c>
      <x:c r="F19" s="24" t="str">
        <x:v>No</x:v>
      </x:c>
      <x:c r="G19" s="24" t="str">
        <x:v>No</x:v>
      </x:c>
      <x:c r="H19" s="24" t="str">
        <x:v>Not started</x:v>
      </x:c>
      <x:c r="I19" s="24" t="str"/>
      <x:c r="J19" s="48"/>
      <x:c r="K19" s="48"/>
      <x:c r="L19" s="24" t="str"/>
      <x:c r="M19" s="60" t="str"/>
    </x:row>
    <x:row r="20">
      <x:c r="A20" s="24" t="str"/>
      <x:c r="B20" s="24" t="str"/>
      <x:c r="C20" s="24" t="str">
        <x:v>Getting Support and incident management</x:v>
      </x:c>
      <x:c r="D20" s="24" t="str">
        <x:v>Required</x:v>
      </x:c>
      <x:c r="E20" s="24" t="str">
        <x:v>No</x:v>
      </x:c>
      <x:c r="F20" s="24" t="str">
        <x:v>No</x:v>
      </x:c>
      <x:c r="G20" s="24" t="str">
        <x:v>No</x:v>
      </x:c>
      <x:c r="H20" s="24" t="str">
        <x:v>Not started</x:v>
      </x:c>
      <x:c r="I20" s="24" t="str"/>
      <x:c r="J20" s="48"/>
      <x:c r="K20" s="48"/>
      <x:c r="L20" s="24" t="str"/>
      <x:c r="M20" s="60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48" t="str"/>
      <x:c r="K21" s="48" t="str"/>
      <x:c r="L21" s="24" t="str"/>
      <x:c r="M21" s="53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48" t="str"/>
      <x:c r="K22" s="48" t="str"/>
      <x:c r="L22" s="24" t="str"/>
      <x:c r="M22" s="53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48" t="str"/>
      <x:c r="K23" s="48" t="str"/>
      <x:c r="L23" s="24" t="str"/>
      <x:c r="M23" s="53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48" t="str"/>
      <x:c r="K24" s="48" t="str"/>
      <x:c r="L24" s="24" t="str"/>
      <x:c r="M24" s="53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48" t="str"/>
      <x:c r="K25" s="48" t="str"/>
      <x:c r="L25" s="24" t="str"/>
      <x:c r="M25" s="53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48" t="str"/>
      <x:c r="K26" s="48" t="str"/>
      <x:c r="L26" s="24" t="str"/>
      <x:c r="M26" s="53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48" t="str"/>
      <x:c r="K27" s="48" t="str"/>
      <x:c r="L27" s="24" t="str"/>
      <x:c r="M27" s="53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48" t="str"/>
      <x:c r="K28" s="48" t="str"/>
      <x:c r="L28" s="24" t="str"/>
      <x:c r="M28" s="53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48" t="str"/>
      <x:c r="K29" s="48" t="str"/>
      <x:c r="L29" s="24" t="str"/>
      <x:c r="M29" s="53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48" t="str"/>
      <x:c r="K30" s="48" t="str"/>
      <x:c r="L30" s="24" t="str"/>
      <x:c r="M30" s="53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48" t="str"/>
      <x:c r="K31" s="48" t="str"/>
      <x:c r="L31" s="24" t="str"/>
      <x:c r="M31" s="53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48" t="str"/>
      <x:c r="K32" s="48" t="str"/>
      <x:c r="L32" s="24" t="str"/>
      <x:c r="M32" s="53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48" t="str"/>
      <x:c r="K33" s="48" t="str"/>
      <x:c r="L33" s="24" t="str"/>
      <x:c r="M33" s="53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48" t="str"/>
      <x:c r="K34" s="48" t="str"/>
      <x:c r="L34" s="24" t="str"/>
      <x:c r="M34" s="53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48" t="str"/>
      <x:c r="K35" s="48" t="str"/>
      <x:c r="L35" s="24" t="str"/>
      <x:c r="M35" s="53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24" t="str"/>
      <x:c r="H36" s="24" t="str"/>
      <x:c r="I36" s="24" t="str"/>
      <x:c r="J36" s="48" t="str"/>
      <x:c r="K36" s="48" t="str"/>
      <x:c r="L36" s="24" t="str"/>
      <x:c r="M36" s="53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48" t="str"/>
      <x:c r="K37" s="48" t="str"/>
      <x:c r="L37" s="24" t="str"/>
      <x:c r="M37" s="53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24" t="str"/>
      <x:c r="H38" s="24" t="str"/>
      <x:c r="I38" s="24" t="str"/>
      <x:c r="J38" s="48" t="str"/>
      <x:c r="K38" s="48" t="str"/>
      <x:c r="L38" s="24" t="str"/>
      <x:c r="M38" s="53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48" t="str"/>
      <x:c r="K39" s="48" t="str"/>
      <x:c r="L39" s="24" t="str"/>
      <x:c r="M39" s="53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24" t="str"/>
      <x:c r="H40" s="24" t="str"/>
      <x:c r="I40" s="24" t="str"/>
      <x:c r="J40" s="48" t="str"/>
      <x:c r="K40" s="48" t="str"/>
      <x:c r="L40" s="24" t="str"/>
      <x:c r="M40" s="53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48" t="str"/>
      <x:c r="K41" s="48" t="str"/>
      <x:c r="L41" s="24" t="str"/>
      <x:c r="M41" s="53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24" t="str"/>
      <x:c r="J42" s="48" t="str"/>
      <x:c r="K42" s="48" t="str"/>
      <x:c r="L42" s="24" t="str"/>
      <x:c r="M42" s="53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48" t="str"/>
      <x:c r="K43" s="48" t="str"/>
      <x:c r="L43" s="24" t="str"/>
      <x:c r="M43" s="53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24" t="str"/>
      <x:c r="J44" s="48" t="str"/>
      <x:c r="K44" s="48" t="str"/>
      <x:c r="L44" s="24" t="str"/>
      <x:c r="M44" s="53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48" t="str"/>
      <x:c r="K45" s="48" t="str"/>
      <x:c r="L45" s="24" t="str"/>
      <x:c r="M45" s="53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24" t="str"/>
      <x:c r="J46" s="48" t="str"/>
      <x:c r="K46" s="48" t="str"/>
      <x:c r="L46" s="24" t="str"/>
      <x:c r="M46" s="53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48" t="str"/>
      <x:c r="K47" s="48" t="str"/>
      <x:c r="L47" s="24" t="str"/>
      <x:c r="M47" s="53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24" t="str"/>
      <x:c r="J48" s="48" t="str"/>
      <x:c r="K48" s="48" t="str"/>
      <x:c r="L48" s="24" t="str"/>
      <x:c r="M48" s="53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48" t="str"/>
      <x:c r="K49" s="48" t="str"/>
      <x:c r="L49" s="24" t="str"/>
      <x:c r="M49" s="53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24" t="str"/>
      <x:c r="J50" s="48" t="str"/>
      <x:c r="K50" s="48" t="str"/>
      <x:c r="L50" s="24" t="str"/>
      <x:c r="M50" s="53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48" t="str"/>
      <x:c r="K51" s="48" t="str"/>
      <x:c r="L51" s="24" t="str"/>
      <x:c r="M51" s="53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24" t="str"/>
      <x:c r="J52" s="48" t="str"/>
      <x:c r="K52" s="48" t="str"/>
      <x:c r="L52" s="24" t="str"/>
      <x:c r="M52" s="53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48" t="str"/>
      <x:c r="K53" s="48" t="str"/>
      <x:c r="L53" s="24" t="str"/>
      <x:c r="M53" s="53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24" t="str"/>
      <x:c r="J54" s="48" t="str"/>
      <x:c r="K54" s="48" t="str"/>
      <x:c r="L54" s="24" t="str"/>
      <x:c r="M54" s="53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48" t="str"/>
      <x:c r="K55" s="48" t="str"/>
      <x:c r="L55" s="24" t="str"/>
      <x:c r="M55" s="53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24" t="str"/>
      <x:c r="J56" s="48" t="str"/>
      <x:c r="K56" s="48" t="str"/>
      <x:c r="L56" s="24" t="str"/>
      <x:c r="M56" s="53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48" t="str"/>
      <x:c r="K57" s="48" t="str"/>
      <x:c r="L57" s="24" t="str"/>
      <x:c r="M57" s="53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24" t="str"/>
      <x:c r="J58" s="48" t="str"/>
      <x:c r="K58" s="48" t="str"/>
      <x:c r="L58" s="24" t="str"/>
      <x:c r="M58" s="53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48" t="str"/>
      <x:c r="K59" s="48" t="str"/>
      <x:c r="L59" s="24" t="str"/>
      <x:c r="M59" s="53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24" t="str"/>
      <x:c r="J60" s="48" t="str"/>
      <x:c r="K60" s="48" t="str"/>
      <x:c r="L60" s="24" t="str"/>
      <x:c r="M60" s="53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48" t="str"/>
      <x:c r="K61" s="48" t="str"/>
      <x:c r="L61" s="24" t="str"/>
      <x:c r="M61" s="53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24" t="str"/>
      <x:c r="J62" s="48" t="str"/>
      <x:c r="K62" s="48" t="str"/>
      <x:c r="L62" s="24" t="str"/>
      <x:c r="M62" s="53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48" t="str"/>
      <x:c r="K63" s="48" t="str"/>
      <x:c r="L63" s="24" t="str"/>
      <x:c r="M63" s="53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24" t="str"/>
      <x:c r="J64" s="48" t="str"/>
      <x:c r="K64" s="48" t="str"/>
      <x:c r="L64" s="24" t="str"/>
      <x:c r="M64" s="53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48" t="str"/>
      <x:c r="K65" s="48" t="str"/>
      <x:c r="L65" s="24" t="str"/>
      <x:c r="M65" s="53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24" t="str"/>
      <x:c r="J66" s="48" t="str"/>
      <x:c r="K66" s="48" t="str"/>
      <x:c r="L66" s="24" t="str"/>
      <x:c r="M66" s="53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48" t="str"/>
      <x:c r="K67" s="48" t="str"/>
      <x:c r="L67" s="24" t="str"/>
      <x:c r="M67" s="53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24" t="str"/>
      <x:c r="J68" s="48" t="str"/>
      <x:c r="K68" s="48" t="str"/>
      <x:c r="L68" s="24" t="str"/>
      <x:c r="M68" s="53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48" t="str"/>
      <x:c r="K69" s="48" t="str"/>
      <x:c r="L69" s="24" t="str"/>
      <x:c r="M69" s="53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24" t="str"/>
      <x:c r="J70" s="48" t="str"/>
      <x:c r="K70" s="48" t="str"/>
      <x:c r="L70" s="24" t="str"/>
      <x:c r="M70" s="53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48" t="str"/>
      <x:c r="K71" s="48" t="str"/>
      <x:c r="L71" s="24" t="str"/>
      <x:c r="M71" s="53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24" t="str"/>
      <x:c r="J72" s="48" t="str"/>
      <x:c r="K72" s="48" t="str"/>
      <x:c r="L72" s="24" t="str"/>
      <x:c r="M72" s="53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48" t="str"/>
      <x:c r="K73" s="48" t="str"/>
      <x:c r="L73" s="24" t="str"/>
      <x:c r="M73" s="53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24" t="str"/>
      <x:c r="J74" s="48" t="str"/>
      <x:c r="K74" s="48" t="str"/>
      <x:c r="L74" s="24" t="str"/>
      <x:c r="M74" s="53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48" t="str"/>
      <x:c r="K75" s="48" t="str"/>
      <x:c r="L75" s="24" t="str"/>
      <x:c r="M75" s="53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24" t="str"/>
      <x:c r="J76" s="48" t="str"/>
      <x:c r="K76" s="48" t="str"/>
      <x:c r="L76" s="24" t="str"/>
      <x:c r="M76" s="53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48" t="str"/>
      <x:c r="K77" s="48" t="str"/>
      <x:c r="L77" s="24" t="str"/>
      <x:c r="M77" s="53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24" t="str"/>
      <x:c r="H78" s="24" t="str"/>
      <x:c r="I78" s="24" t="str"/>
      <x:c r="J78" s="48" t="str"/>
      <x:c r="K78" s="48" t="str"/>
      <x:c r="L78" s="24" t="str"/>
      <x:c r="M78" s="53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48" t="str"/>
      <x:c r="K79" s="48" t="str"/>
      <x:c r="L79" s="24" t="str"/>
      <x:c r="M79" s="53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24" t="str"/>
      <x:c r="H80" s="24" t="str"/>
      <x:c r="I80" s="24" t="str"/>
      <x:c r="J80" s="48" t="str"/>
      <x:c r="K80" s="48" t="str"/>
      <x:c r="L80" s="24" t="str"/>
      <x:c r="M80" s="53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48" t="str"/>
      <x:c r="K81" s="48" t="str"/>
      <x:c r="L81" s="24" t="str"/>
      <x:c r="M81" s="53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24" t="str"/>
      <x:c r="H82" s="24" t="str"/>
      <x:c r="I82" s="24" t="str"/>
      <x:c r="J82" s="48" t="str"/>
      <x:c r="K82" s="48" t="str"/>
      <x:c r="L82" s="24" t="str"/>
      <x:c r="M82" s="53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48" t="str"/>
      <x:c r="K83" s="48" t="str"/>
      <x:c r="L83" s="24" t="str"/>
      <x:c r="M83" s="53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24" t="str"/>
      <x:c r="H84" s="24" t="str"/>
      <x:c r="I84" s="24" t="str"/>
      <x:c r="J84" s="48" t="str"/>
      <x:c r="K84" s="48" t="str"/>
      <x:c r="L84" s="24" t="str"/>
      <x:c r="M84" s="53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48" t="str"/>
      <x:c r="K85" s="48" t="str"/>
      <x:c r="L85" s="24" t="str"/>
      <x:c r="M85" s="53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24" t="str"/>
      <x:c r="H86" s="24" t="str"/>
      <x:c r="I86" s="24" t="str"/>
      <x:c r="J86" s="48" t="str"/>
      <x:c r="K86" s="48" t="str"/>
      <x:c r="L86" s="24" t="str"/>
      <x:c r="M86" s="53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24" t="str"/>
      <x:c r="J87" s="48" t="str"/>
      <x:c r="K87" s="48" t="str"/>
      <x:c r="L87" s="24" t="str"/>
      <x:c r="M87" s="53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24" t="str"/>
      <x:c r="H88" s="24" t="str"/>
      <x:c r="I88" s="24" t="str"/>
      <x:c r="J88" s="48" t="str"/>
      <x:c r="K88" s="48" t="str"/>
      <x:c r="L88" s="24" t="str"/>
      <x:c r="M88" s="53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24" t="str"/>
      <x:c r="J89" s="48" t="str"/>
      <x:c r="K89" s="48" t="str"/>
      <x:c r="L89" s="24" t="str"/>
      <x:c r="M89" s="53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24" t="str"/>
      <x:c r="H90" s="24" t="str"/>
      <x:c r="I90" s="24" t="str"/>
      <x:c r="J90" s="48" t="str"/>
      <x:c r="K90" s="48" t="str"/>
      <x:c r="L90" s="24" t="str"/>
      <x:c r="M90" s="53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24" t="str"/>
      <x:c r="J91" s="48" t="str"/>
      <x:c r="K91" s="48" t="str"/>
      <x:c r="L91" s="24" t="str"/>
      <x:c r="M91" s="53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24" t="str"/>
      <x:c r="H92" s="24" t="str"/>
      <x:c r="I92" s="24" t="str"/>
      <x:c r="J92" s="48" t="str"/>
      <x:c r="K92" s="48" t="str"/>
      <x:c r="L92" s="24" t="str"/>
      <x:c r="M92" s="53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24" t="str"/>
      <x:c r="J93" s="48" t="str"/>
      <x:c r="K93" s="48" t="str"/>
      <x:c r="L93" s="24" t="str"/>
      <x:c r="M93" s="53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24" t="str"/>
      <x:c r="H94" s="24" t="str"/>
      <x:c r="I94" s="24" t="str"/>
      <x:c r="J94" s="48" t="str"/>
      <x:c r="K94" s="48" t="str"/>
      <x:c r="L94" s="24" t="str"/>
      <x:c r="M94" s="53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24" t="str"/>
      <x:c r="J95" s="48" t="str"/>
      <x:c r="K95" s="48" t="str"/>
      <x:c r="L95" s="24" t="str"/>
      <x:c r="M95" s="53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24" t="str"/>
      <x:c r="H96" s="24" t="str"/>
      <x:c r="I96" s="24" t="str"/>
      <x:c r="J96" s="48" t="str"/>
      <x:c r="K96" s="48" t="str"/>
      <x:c r="L96" s="24" t="str"/>
      <x:c r="M96" s="53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24" t="str"/>
      <x:c r="J97" s="48" t="str"/>
      <x:c r="K97" s="48" t="str"/>
      <x:c r="L97" s="24" t="str"/>
      <x:c r="M97" s="53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24" t="str"/>
      <x:c r="H98" s="24" t="str"/>
      <x:c r="I98" s="24" t="str"/>
      <x:c r="J98" s="48" t="str"/>
      <x:c r="K98" s="48" t="str"/>
      <x:c r="L98" s="24" t="str"/>
      <x:c r="M98" s="53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24" t="str"/>
      <x:c r="J99" s="48" t="str"/>
      <x:c r="K99" s="48" t="str"/>
      <x:c r="L99" s="24" t="str"/>
      <x:c r="M99" s="53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24" t="str"/>
      <x:c r="H100" s="24" t="str"/>
      <x:c r="I100" s="24" t="str"/>
      <x:c r="J100" s="48" t="str"/>
      <x:c r="K100" s="48" t="str"/>
      <x:c r="L100" s="24" t="str"/>
      <x:c r="M100" s="53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24" t="str"/>
      <x:c r="J101" s="48" t="str"/>
      <x:c r="K101" s="48" t="str"/>
      <x:c r="L101" s="24" t="str"/>
      <x:c r="M101" s="53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24" t="str"/>
      <x:c r="H102" s="24" t="str"/>
      <x:c r="I102" s="24" t="str"/>
      <x:c r="J102" s="48" t="str"/>
      <x:c r="K102" s="48" t="str"/>
      <x:c r="L102" s="24" t="str"/>
      <x:c r="M102" s="53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24" t="str"/>
      <x:c r="J103" s="48" t="str"/>
      <x:c r="K103" s="48" t="str"/>
      <x:c r="L103" s="24" t="str"/>
      <x:c r="M103" s="53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24" t="str"/>
      <x:c r="H104" s="24" t="str"/>
      <x:c r="I104" s="24" t="str"/>
      <x:c r="J104" s="48" t="str"/>
      <x:c r="K104" s="48" t="str"/>
      <x:c r="L104" s="24" t="str"/>
      <x:c r="M104" s="53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24" t="str"/>
      <x:c r="J105" s="48" t="str"/>
      <x:c r="K105" s="48" t="str"/>
      <x:c r="L105" s="24" t="str"/>
      <x:c r="M105" s="53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24" t="str"/>
      <x:c r="H106" s="24" t="str"/>
      <x:c r="I106" s="24" t="str"/>
      <x:c r="J106" s="48" t="str"/>
      <x:c r="K106" s="48" t="str"/>
      <x:c r="L106" s="24" t="str"/>
      <x:c r="M106" s="53" t="str"/>
    </x:row>
    <x:row r="107">
      <x:c r="A107" s="53" t="str"/>
      <x:c r="B107" s="53" t="str"/>
      <x:c r="C107" s="53" t="str"/>
      <x:c r="D107" s="53" t="str"/>
      <x:c r="E107" s="53" t="str"/>
      <x:c r="F107" s="53" t="str"/>
      <x:c r="G107" s="53" t="str"/>
      <x:c r="H107" s="53" t="str"/>
      <x:c r="I107" s="53" t="str"/>
      <x:c r="J107" s="58" t="str"/>
      <x:c r="K107" s="58" t="str"/>
      <x:c r="L107" s="53" t="str"/>
      <x:c r="M107" s="53" t="str"/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G4:H4"/>
    <x:mergeCell ref="G5:H5"/>
    <x:mergeCell ref="A3:M3"/>
  </x:mergeCells>
  <x:conditionalFormatting sqref="H8:H107">
    <x:cfRule type="expression" dxfId="0" priority="1">
      <x:formula>H8="Complete"</x:formula>
    </x:cfRule>
    <x:cfRule type="expression" dxfId="1" priority="2">
      <x:formula>H8="Blocked"</x:formula>
    </x:cfRule>
    <x:cfRule type="expression" dxfId="2" priority="3">
      <x:formula>H8="In progress"</x:formula>
    </x:cfRule>
  </x:conditionalFormatting>
  <x:dataValidations count="6">
    <x:dataValidation type="list" sqref="D8:D107">
      <x:formula1>"Required,Recommended,Optional"</x:formula1>
    </x:dataValidation>
    <x:dataValidation type="list" sqref="E8:E107">
      <x:formula1>"Yes,No,Not applicable"</x:formula1>
    </x:dataValidation>
    <x:dataValidation type="list" sqref="F8:F107">
      <x:formula1>"Yes,No,Not applicable"</x:formula1>
    </x:dataValidation>
    <x:dataValidation type="list" sqref="G8:G107">
      <x:formula1>"Yes,No,Not applicable"</x:formula1>
    </x:dataValidation>
    <x:dataValidation type="list" sqref="H8:H107">
      <x:formula1>"Not started,In progress,Competent,Needs support,Not applicable"</x:formula1>
    </x:dataValidation>
    <x:dataValidation type="list" sqref="L8:L107">
      <x:formula1>"Confirmed,Not confirmed,Not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f65f327a614778"/>
  </x:tableParts>
</x:worksheet>
</file>